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 defaultThemeVersion="124226"/>
  <xr:revisionPtr revIDLastSave="0" documentId="13_ncr:1_{ED6665AD-7310-48BD-A227-60982DE611F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UML_ULTIMA PTS LIST JUNE 26-27" sheetId="1" r:id="rId1"/>
  </sheets>
  <definedNames>
    <definedName name="_xlnm._FilterDatabase" localSheetId="0" hidden="1">'UML_ULTIMA PTS LIST JUNE 26-27'!$A$2:$J$486</definedName>
    <definedName name="_xlnm.Print_Titles" localSheetId="0">'UML_ULTIMA PTS LIST JUNE 26-27'!$2:$2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12" i="1" l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1" i="1"/>
  <c r="J570" i="1"/>
  <c r="J569" i="1"/>
  <c r="J568" i="1"/>
  <c r="J567" i="1"/>
  <c r="J566" i="1"/>
  <c r="J564" i="1"/>
  <c r="J563" i="1"/>
  <c r="J562" i="1"/>
  <c r="J561" i="1"/>
  <c r="J560" i="1"/>
  <c r="J559" i="1"/>
  <c r="J558" i="1"/>
  <c r="J557" i="1"/>
  <c r="J556" i="1"/>
  <c r="J553" i="1"/>
  <c r="J552" i="1"/>
  <c r="J551" i="1"/>
  <c r="J550" i="1"/>
  <c r="J541" i="1"/>
  <c r="J540" i="1"/>
  <c r="J539" i="1"/>
  <c r="J538" i="1"/>
  <c r="J537" i="1"/>
  <c r="J536" i="1"/>
  <c r="J535" i="1"/>
  <c r="J512" i="1"/>
  <c r="J508" i="1"/>
  <c r="J507" i="1"/>
  <c r="J506" i="1"/>
  <c r="J505" i="1"/>
  <c r="J504" i="1"/>
  <c r="J503" i="1"/>
  <c r="J501" i="1"/>
  <c r="J500" i="1"/>
  <c r="J499" i="1"/>
  <c r="J498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7" i="1"/>
  <c r="J426" i="1"/>
  <c r="J425" i="1"/>
  <c r="J424" i="1"/>
  <c r="J423" i="1"/>
  <c r="J422" i="1"/>
  <c r="J421" i="1"/>
  <c r="J418" i="1"/>
  <c r="J417" i="1"/>
  <c r="J416" i="1"/>
  <c r="J415" i="1"/>
  <c r="J414" i="1"/>
  <c r="J413" i="1"/>
  <c r="J412" i="1"/>
  <c r="J411" i="1"/>
  <c r="J410" i="1"/>
  <c r="J409" i="1"/>
  <c r="J408" i="1"/>
  <c r="J405" i="1"/>
  <c r="J404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5" i="1"/>
  <c r="J374" i="1"/>
  <c r="J373" i="1"/>
  <c r="J372" i="1"/>
  <c r="J371" i="1"/>
  <c r="J370" i="1"/>
  <c r="J369" i="1"/>
  <c r="J368" i="1"/>
  <c r="J366" i="1"/>
  <c r="J362" i="1"/>
  <c r="J361" i="1"/>
  <c r="J360" i="1"/>
  <c r="J359" i="1"/>
  <c r="J358" i="1"/>
  <c r="J356" i="1"/>
  <c r="J353" i="1"/>
  <c r="J352" i="1"/>
  <c r="J351" i="1"/>
  <c r="J350" i="1"/>
  <c r="J349" i="1"/>
  <c r="J348" i="1"/>
  <c r="J343" i="1"/>
  <c r="J342" i="1"/>
  <c r="J341" i="1"/>
  <c r="J340" i="1"/>
  <c r="J335" i="1"/>
  <c r="J334" i="1"/>
  <c r="J333" i="1"/>
  <c r="J331" i="1"/>
  <c r="J330" i="1"/>
  <c r="J329" i="1"/>
  <c r="J328" i="1"/>
  <c r="J327" i="1"/>
  <c r="J325" i="1"/>
  <c r="J324" i="1"/>
  <c r="J323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2" i="1"/>
  <c r="J301" i="1"/>
  <c r="J300" i="1"/>
  <c r="J299" i="1"/>
  <c r="J298" i="1"/>
  <c r="J297" i="1"/>
  <c r="J294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3" i="1"/>
  <c r="J182" i="1"/>
  <c r="J181" i="1"/>
  <c r="J176" i="1"/>
  <c r="J175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6" i="1"/>
  <c r="J133" i="1"/>
  <c r="J132" i="1"/>
  <c r="J131" i="1"/>
  <c r="J130" i="1"/>
  <c r="J129" i="1"/>
  <c r="J128" i="1"/>
  <c r="J127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1" i="1"/>
  <c r="J30" i="1"/>
  <c r="J29" i="1"/>
  <c r="J28" i="1"/>
  <c r="J26" i="1"/>
  <c r="J25" i="1"/>
  <c r="J24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1" i="1" l="1"/>
</calcChain>
</file>

<file path=xl/sharedStrings.xml><?xml version="1.0" encoding="utf-8"?>
<sst xmlns="http://schemas.openxmlformats.org/spreadsheetml/2006/main" count="2885" uniqueCount="1288">
  <si>
    <t>CODE</t>
  </si>
  <si>
    <t xml:space="preserve">PRODUCT </t>
  </si>
  <si>
    <t xml:space="preserve">PACK SIZE </t>
  </si>
  <si>
    <t>PACK TYPE</t>
  </si>
  <si>
    <t>MRP</t>
  </si>
  <si>
    <t>Case</t>
  </si>
  <si>
    <t>Blister</t>
  </si>
  <si>
    <t>IE870005</t>
  </si>
  <si>
    <t>ACIPOX- 400 TAB (10X10)</t>
  </si>
  <si>
    <t>10X10</t>
  </si>
  <si>
    <t>Alu-Alu</t>
  </si>
  <si>
    <t>IB890005</t>
  </si>
  <si>
    <t xml:space="preserve">ACIPOX- 800 TAB (10X10) </t>
  </si>
  <si>
    <t>I8310005</t>
  </si>
  <si>
    <t>ACIPOX CREAM 15GM</t>
  </si>
  <si>
    <t>15gm</t>
  </si>
  <si>
    <t>Lami Tube</t>
  </si>
  <si>
    <t>I9030001</t>
  </si>
  <si>
    <t>ACNEVENT PLUS 15 GM</t>
  </si>
  <si>
    <t>15 gm</t>
  </si>
  <si>
    <t>ACNEVENT SOFTGEL</t>
  </si>
  <si>
    <t>10X1X10</t>
  </si>
  <si>
    <t>I7650001</t>
  </si>
  <si>
    <t>ACTIGRAIN-10 TAB</t>
  </si>
  <si>
    <t>20X10</t>
  </si>
  <si>
    <t>AL- Strip</t>
  </si>
  <si>
    <t>I4640001</t>
  </si>
  <si>
    <t>ACTIGRAIN-P CAP</t>
  </si>
  <si>
    <t>10x10</t>
  </si>
  <si>
    <t>I7060001</t>
  </si>
  <si>
    <t>ACTIVERT-16 TAB</t>
  </si>
  <si>
    <t>I7050001</t>
  </si>
  <si>
    <t>ACTIVERT-8 TAB</t>
  </si>
  <si>
    <t>ADIGARD CREAM 25 GM</t>
  </si>
  <si>
    <t xml:space="preserve">25 gm </t>
  </si>
  <si>
    <t xml:space="preserve">Tube </t>
  </si>
  <si>
    <t>G2510001</t>
  </si>
  <si>
    <t>AMLOVENT AT TAB</t>
  </si>
  <si>
    <t xml:space="preserve">20X10 TAB </t>
  </si>
  <si>
    <t>L0200001</t>
  </si>
  <si>
    <t>APILACTIN PLUS SYRUP 200ML</t>
  </si>
  <si>
    <t>200 ML</t>
  </si>
  <si>
    <t>Pet With Mono Carton</t>
  </si>
  <si>
    <t>APTIRIDE SYRUP 200ML</t>
  </si>
  <si>
    <t>ARSHCURE CAPSULE</t>
  </si>
  <si>
    <t>1x30</t>
  </si>
  <si>
    <t>Bottles</t>
  </si>
  <si>
    <t>AYU LAXIVENT TAB</t>
  </si>
  <si>
    <t>C4180007</t>
  </si>
  <si>
    <t>BACTOFIX-100 DRY SYRP</t>
  </si>
  <si>
    <t>30 ML</t>
  </si>
  <si>
    <t>Glass Bottle with WFI</t>
  </si>
  <si>
    <t>BACTOFIX-100DT TAB (20X10)</t>
  </si>
  <si>
    <t>20x10</t>
  </si>
  <si>
    <t>C4370001</t>
  </si>
  <si>
    <t>BACTOFIX-50 DRY SYP</t>
  </si>
  <si>
    <t>10x1x10</t>
  </si>
  <si>
    <t>C1490006</t>
  </si>
  <si>
    <t>BACTOFIX-CV 325 TAB</t>
  </si>
  <si>
    <t>10x1x6</t>
  </si>
  <si>
    <t>BACTOFIX-DROP</t>
  </si>
  <si>
    <t>10 ML</t>
  </si>
  <si>
    <t>Pet Bottle with WFI</t>
  </si>
  <si>
    <t>C4060025</t>
  </si>
  <si>
    <t>BACTOFIX-O ORAL SUSP</t>
  </si>
  <si>
    <t>20 ML</t>
  </si>
  <si>
    <t>BECOMINTA 4G SOFTGEL</t>
  </si>
  <si>
    <t>3x10</t>
  </si>
  <si>
    <t>BECOMINTA Z SYRUP</t>
  </si>
  <si>
    <t>D0150001</t>
  </si>
  <si>
    <t>BECOMINTA-L DRY SYRUP</t>
  </si>
  <si>
    <t>60ml</t>
  </si>
  <si>
    <t>I3730001</t>
  </si>
  <si>
    <t>BECOMINTA-TOTAL TAB</t>
  </si>
  <si>
    <t>I9100001</t>
  </si>
  <si>
    <t>BETAVENT-N 15 GM</t>
  </si>
  <si>
    <t>AL-Tube</t>
  </si>
  <si>
    <t>BILOTRA 20 TAB</t>
  </si>
  <si>
    <t>BILOTRA DM SUSP. 100ML</t>
  </si>
  <si>
    <t>100ml</t>
  </si>
  <si>
    <t>Pet Bottle with Mono</t>
  </si>
  <si>
    <t>L1440002</t>
  </si>
  <si>
    <t>BILOTRA-M SUSP. 60ml</t>
  </si>
  <si>
    <t xml:space="preserve">60 ml </t>
  </si>
  <si>
    <t xml:space="preserve">Pet Bottle </t>
  </si>
  <si>
    <t>BILOTRA-M TAB</t>
  </si>
  <si>
    <t>GC670006</t>
  </si>
  <si>
    <t>BISOVENT-2.5 TAB 20X10</t>
  </si>
  <si>
    <t>GB230006</t>
  </si>
  <si>
    <t>BISOVENT-5 TAB 20X10</t>
  </si>
  <si>
    <t>BRIVITRA 50 TAB</t>
  </si>
  <si>
    <t>Al-strip</t>
  </si>
  <si>
    <t>Respules</t>
  </si>
  <si>
    <t>J2020001</t>
  </si>
  <si>
    <t>BUDERON RESPULES 1.0mg 10x5x2 ml</t>
  </si>
  <si>
    <t>2ml</t>
  </si>
  <si>
    <t>20gm</t>
  </si>
  <si>
    <t>GD220001</t>
  </si>
  <si>
    <t>BUSCOVENT TAB</t>
  </si>
  <si>
    <t>CALAVENT LOTION</t>
  </si>
  <si>
    <t>100 ML</t>
  </si>
  <si>
    <t>CALCIVENT K2 FORTE SOFTGEL</t>
  </si>
  <si>
    <t>CALCIVENT SOFTGEL R/Y</t>
  </si>
  <si>
    <t>5x2x15</t>
  </si>
  <si>
    <t>GC380001</t>
  </si>
  <si>
    <t>CALCIVENT TAB</t>
  </si>
  <si>
    <t>20x15</t>
  </si>
  <si>
    <t>GH100001</t>
  </si>
  <si>
    <t>CALCIVENT-2000 TAB</t>
  </si>
  <si>
    <t xml:space="preserve">Blister </t>
  </si>
  <si>
    <t>CALCIVENT-D3 MAX SOFTGEL</t>
  </si>
  <si>
    <t>10x1x15</t>
  </si>
  <si>
    <t>CANDIVENT B LOTION 30ML</t>
  </si>
  <si>
    <t>CANDIVENT DUSTING POWDER</t>
  </si>
  <si>
    <t>75gm</t>
  </si>
  <si>
    <t>Box</t>
  </si>
  <si>
    <t>I9710001</t>
  </si>
  <si>
    <t>CANDIVENT-B CREAM 15GM</t>
  </si>
  <si>
    <t>15 Gm</t>
  </si>
  <si>
    <t>CANDIVENT-VG 30GM</t>
  </si>
  <si>
    <t>30GM</t>
  </si>
  <si>
    <t>CANDIVENT-VT TAB</t>
  </si>
  <si>
    <t>I9500003</t>
  </si>
  <si>
    <t>CAPILATE-P CREAM 30GM</t>
  </si>
  <si>
    <t>30 Gm</t>
  </si>
  <si>
    <t>IE840003</t>
  </si>
  <si>
    <t>CAPILATE-PLUS TAB (10X1X10)</t>
  </si>
  <si>
    <t>CARIVENT SYRUP 200ML</t>
  </si>
  <si>
    <t xml:space="preserve">200 ml </t>
  </si>
  <si>
    <t>Pet Bottle</t>
  </si>
  <si>
    <t>CARIVENT TAB</t>
  </si>
  <si>
    <t>5x15</t>
  </si>
  <si>
    <t>IF680001</t>
  </si>
  <si>
    <t>CETROVENT-A TAB (20X10)</t>
  </si>
  <si>
    <t>CHYMORIDE FORTE TAB (10X1X20)</t>
  </si>
  <si>
    <t>10x1x20</t>
  </si>
  <si>
    <t>GD130002</t>
  </si>
  <si>
    <t>CILAROL-10 TAB</t>
  </si>
  <si>
    <t>I2960001</t>
  </si>
  <si>
    <t>CITIRIDE 500 TAB</t>
  </si>
  <si>
    <t>IE890002</t>
  </si>
  <si>
    <t>CITIRIDE-P FORTE TAB</t>
  </si>
  <si>
    <t>5x1x10</t>
  </si>
  <si>
    <t xml:space="preserve">Alu -Alu </t>
  </si>
  <si>
    <t>I2970001</t>
  </si>
  <si>
    <t>CITIRIDE-P TAB</t>
  </si>
  <si>
    <t>L1010001</t>
  </si>
  <si>
    <t>CITRASTONE SYRUP 100ML</t>
  </si>
  <si>
    <t>I9220001</t>
  </si>
  <si>
    <t>CLARILITE CREAM</t>
  </si>
  <si>
    <t>D0070001</t>
  </si>
  <si>
    <t>CLARIVENT-125 ORAL SUSPENSION</t>
  </si>
  <si>
    <t>GF400002</t>
  </si>
  <si>
    <t>CLARIVENT-250 TAB (5X1X10)</t>
  </si>
  <si>
    <t>5X1X10</t>
  </si>
  <si>
    <t>GF410002</t>
  </si>
  <si>
    <t>CLARIVENT-500 TAB (5X1X10)</t>
  </si>
  <si>
    <t>I9510005</t>
  </si>
  <si>
    <t>CLOBEVENT CREAM 15GM</t>
  </si>
  <si>
    <t>CLOBEVENT GM LOTION 25ML</t>
  </si>
  <si>
    <t>25 ML</t>
  </si>
  <si>
    <t>I9430001</t>
  </si>
  <si>
    <t>CLOBEVENT-GM 15GM</t>
  </si>
  <si>
    <t>I9370001</t>
  </si>
  <si>
    <t>CLOBEVENT-S OINTMENT</t>
  </si>
  <si>
    <t>20 gm</t>
  </si>
  <si>
    <t>COLIGUT-200 TAB</t>
  </si>
  <si>
    <t>COLIGUT-400 TAB</t>
  </si>
  <si>
    <t>COLIGUT-550 TAB</t>
  </si>
  <si>
    <t>COLIGUT-L CAP</t>
  </si>
  <si>
    <t>30ml</t>
  </si>
  <si>
    <t>Mono Carton with WFI</t>
  </si>
  <si>
    <t>COLIGUT-L SACHET</t>
  </si>
  <si>
    <t>1g</t>
  </si>
  <si>
    <t xml:space="preserve">Sachet </t>
  </si>
  <si>
    <t>L1200001</t>
  </si>
  <si>
    <t>COLIVENT DROPS 30ML</t>
  </si>
  <si>
    <t>30 ml</t>
  </si>
  <si>
    <t>L1210001</t>
  </si>
  <si>
    <t>COLIVENT SYRUP 60ML</t>
  </si>
  <si>
    <t>60 ml</t>
  </si>
  <si>
    <t>L0690001</t>
  </si>
  <si>
    <t>CORIVENT-EX SYRUP 100ML (NEW)</t>
  </si>
  <si>
    <t>Pet bottle</t>
  </si>
  <si>
    <t>5 ML</t>
  </si>
  <si>
    <t>GE510001</t>
  </si>
  <si>
    <t>DAOPHAGE G1 TAB (10X2X15)</t>
  </si>
  <si>
    <t>10X2X15</t>
  </si>
  <si>
    <t>GE500001</t>
  </si>
  <si>
    <t>DAOPHAGE G2 TAB (10X2X15)</t>
  </si>
  <si>
    <t>GE520001</t>
  </si>
  <si>
    <t>DAOPHAGE GP1 TAB (10X2X15 )</t>
  </si>
  <si>
    <t>GD810001</t>
  </si>
  <si>
    <t>DAOPHAGE GP2 TAB (10X2X15 )</t>
  </si>
  <si>
    <t>10x2x15</t>
  </si>
  <si>
    <t>I7890001</t>
  </si>
  <si>
    <t>DAOPHAGE-500 SR TAB</t>
  </si>
  <si>
    <t>10X2X10</t>
  </si>
  <si>
    <t>IF470001</t>
  </si>
  <si>
    <t>DAOPHAGE-G 0.5 TAB</t>
  </si>
  <si>
    <t xml:space="preserve">10X15 </t>
  </si>
  <si>
    <t>GC300003</t>
  </si>
  <si>
    <t>DAOPHAGE-G1 FORTE TAB</t>
  </si>
  <si>
    <t>10X15</t>
  </si>
  <si>
    <t>GC310003</t>
  </si>
  <si>
    <t>DAOPHAGE-G2 FORTE TAB</t>
  </si>
  <si>
    <t>I2850001</t>
  </si>
  <si>
    <t>DAOZIDE-M TAB</t>
  </si>
  <si>
    <t>10x2x10</t>
  </si>
  <si>
    <t>GE690001</t>
  </si>
  <si>
    <t>DAPALIFT-10 TAB (10X1X10)</t>
  </si>
  <si>
    <t>GE800002</t>
  </si>
  <si>
    <t>DAPALIFT-M 10/1000 TAB</t>
  </si>
  <si>
    <t>GE790002</t>
  </si>
  <si>
    <t>DAPALIFT-M 10/500 TAB</t>
  </si>
  <si>
    <t>DAPALIFT-V TAB</t>
  </si>
  <si>
    <t>I9740003</t>
  </si>
  <si>
    <t>DERMOVENT-5 CREAM 15GM</t>
  </si>
  <si>
    <t>I3180001</t>
  </si>
  <si>
    <t>DERMOVENT-500 TAB</t>
  </si>
  <si>
    <t>Al- Strip</t>
  </si>
  <si>
    <t>L0720001</t>
  </si>
  <si>
    <t>DILUSTONE 1B6 ORAL SOLUTION</t>
  </si>
  <si>
    <t>DILUSTONE CAPSULE</t>
  </si>
  <si>
    <t>DOLORIDE COLD TAB (PLASTIC BOX)</t>
  </si>
  <si>
    <t>80X10</t>
  </si>
  <si>
    <t>GC540001</t>
  </si>
  <si>
    <t>DOLORIDE-CHYMO TAB</t>
  </si>
  <si>
    <t>GC080001</t>
  </si>
  <si>
    <t>DOLORIDE-MR TAB</t>
  </si>
  <si>
    <t>GC470002</t>
  </si>
  <si>
    <t>DOLORIDE-P TABLET (ALU-ALU)</t>
  </si>
  <si>
    <t>IB490001</t>
  </si>
  <si>
    <t>DOLORIDE-TH4 TAB</t>
  </si>
  <si>
    <t>IB480001</t>
  </si>
  <si>
    <t>DOLORIDE-TH8 TAB</t>
  </si>
  <si>
    <t>I7440001</t>
  </si>
  <si>
    <t>DOLOSAID 200 SR TAB</t>
  </si>
  <si>
    <t>GB460001</t>
  </si>
  <si>
    <t>DOLOSAID P TAB</t>
  </si>
  <si>
    <t>30x10</t>
  </si>
  <si>
    <t>I4530001</t>
  </si>
  <si>
    <t>DOLOSAID RAB SR CAP</t>
  </si>
  <si>
    <t>I1360001</t>
  </si>
  <si>
    <t>DOLOSAID -TP 8 TAB</t>
  </si>
  <si>
    <t>IC520001</t>
  </si>
  <si>
    <t>DOLOSAID-100 TAB</t>
  </si>
  <si>
    <t>60 ML</t>
  </si>
  <si>
    <t>Pet Bottle With Carton</t>
  </si>
  <si>
    <t>GE110001</t>
  </si>
  <si>
    <t>DOLOSAID-MR TAB NEW PACK (20X10)</t>
  </si>
  <si>
    <t>G7420001</t>
  </si>
  <si>
    <t>DOLOSAID-SP</t>
  </si>
  <si>
    <t>I3760001</t>
  </si>
  <si>
    <t>DOLOSAID-SPAS TAB</t>
  </si>
  <si>
    <t>G1350001</t>
  </si>
  <si>
    <t>DOLOSAID-TP4 TAB</t>
  </si>
  <si>
    <t>G1500001</t>
  </si>
  <si>
    <t>DOLOVENT-DT TAB</t>
  </si>
  <si>
    <t>IB010001</t>
  </si>
  <si>
    <t>DONACORTIL-30 TAB</t>
  </si>
  <si>
    <t>DONACORTIL-6 ORAL SUSP.</t>
  </si>
  <si>
    <t>IA570001</t>
  </si>
  <si>
    <t>DONACORTIL-6 TAB</t>
  </si>
  <si>
    <t>IF270001</t>
  </si>
  <si>
    <t>DONACORTIL-TM CAP</t>
  </si>
  <si>
    <t>I3010005</t>
  </si>
  <si>
    <t>DOXIMYCIN TAB (STRIP 290MM)</t>
  </si>
  <si>
    <t>AL STRIP</t>
  </si>
  <si>
    <t>I5520001</t>
  </si>
  <si>
    <t>DOXIVENT-LB CAP</t>
  </si>
  <si>
    <t>IA380004</t>
  </si>
  <si>
    <t>DUOPRESS-FM TAB</t>
  </si>
  <si>
    <t xml:space="preserve">DUOSMA-3 RESPULES </t>
  </si>
  <si>
    <t xml:space="preserve">DUOSMA-LD RESPULES </t>
  </si>
  <si>
    <t>RESPULES</t>
  </si>
  <si>
    <t xml:space="preserve">10x1x10 </t>
  </si>
  <si>
    <t>I7520001</t>
  </si>
  <si>
    <t>EMIVENT MD TAB</t>
  </si>
  <si>
    <t>ENTEROBIOZ RESPULES 5ML</t>
  </si>
  <si>
    <t>ENZOVENT PLUS TAB (10X1X10)</t>
  </si>
  <si>
    <t>ENZOVENT TAB (10X1X10)</t>
  </si>
  <si>
    <t>G6630003</t>
  </si>
  <si>
    <t>ESOVENT IT CAP</t>
  </si>
  <si>
    <t>G4350002</t>
  </si>
  <si>
    <t>ESOVENT-DSR CAP</t>
  </si>
  <si>
    <t>I4770001</t>
  </si>
  <si>
    <t>ESOVENT-LSR CAP</t>
  </si>
  <si>
    <t>Al-Strip</t>
  </si>
  <si>
    <t>IB500001</t>
  </si>
  <si>
    <t>FEBUROL-40 TAB</t>
  </si>
  <si>
    <t>GB510002</t>
  </si>
  <si>
    <t>FEBUROL-80 TAB</t>
  </si>
  <si>
    <t>15 ML</t>
  </si>
  <si>
    <t>GB450001</t>
  </si>
  <si>
    <t>FEPASULIDE P TAB</t>
  </si>
  <si>
    <t>25x2x10</t>
  </si>
  <si>
    <t>FERIMINTA PLUS SYRUP 225ML</t>
  </si>
  <si>
    <t>225 ML</t>
  </si>
  <si>
    <t>L1030002</t>
  </si>
  <si>
    <t>FERIMINTA PLUS SYRUP 450ML</t>
  </si>
  <si>
    <t>450 ML</t>
  </si>
  <si>
    <t>L0360001</t>
  </si>
  <si>
    <t>FERIVENT-XT SUSP. 150 ML</t>
  </si>
  <si>
    <t>150 ML</t>
  </si>
  <si>
    <t>I3700001</t>
  </si>
  <si>
    <t>FERIVENT-XT TAB</t>
  </si>
  <si>
    <t>I5290001</t>
  </si>
  <si>
    <t>FERIVENT-Z CAP</t>
  </si>
  <si>
    <t>FERTIVENT F TAB</t>
  </si>
  <si>
    <t>alu-alu</t>
  </si>
  <si>
    <t>FERTIVENT M TAB</t>
  </si>
  <si>
    <t>G1220005</t>
  </si>
  <si>
    <t>FLUCOVENT-150 TAB (NEW)</t>
  </si>
  <si>
    <t>40x2x1</t>
  </si>
  <si>
    <t>I4090005</t>
  </si>
  <si>
    <t>FLUPRESS-20 CAP (10X2X15)</t>
  </si>
  <si>
    <t>10x2x15 caps</t>
  </si>
  <si>
    <t>FLUTIGRA AZ NASAL SPRAY</t>
  </si>
  <si>
    <t>120m</t>
  </si>
  <si>
    <t>pet bottle</t>
  </si>
  <si>
    <t>FLUTIGRA NASAL SPRAY</t>
  </si>
  <si>
    <t>IE310001</t>
  </si>
  <si>
    <t>FOLIRIDE GOLD TAB</t>
  </si>
  <si>
    <t>I1830001</t>
  </si>
  <si>
    <t>FOLIRIDE TAB</t>
  </si>
  <si>
    <t>10x1x30</t>
  </si>
  <si>
    <t>IF380002</t>
  </si>
  <si>
    <t>GABAVENT NT 400 TAB (20X10)</t>
  </si>
  <si>
    <t>IB020001</t>
  </si>
  <si>
    <t>GABAVENT-100 TAB</t>
  </si>
  <si>
    <t>I4110001</t>
  </si>
  <si>
    <t>GABAVENT-300 CAP</t>
  </si>
  <si>
    <t>GABAVENT-M 100 TAB</t>
  </si>
  <si>
    <t>GABAVENT-M 300 TAB</t>
  </si>
  <si>
    <t>IF400002</t>
  </si>
  <si>
    <t>GABAVENT-NT 100 TAB</t>
  </si>
  <si>
    <t xml:space="preserve">10x15 </t>
  </si>
  <si>
    <t>GC510001</t>
  </si>
  <si>
    <t>GABAVENT-NT 300 TABLET 10X1X10</t>
  </si>
  <si>
    <t>GALVENT-50 TAB</t>
  </si>
  <si>
    <t>10x15</t>
  </si>
  <si>
    <t>GALVENT-M 1000 TAB</t>
  </si>
  <si>
    <t>GALVENT-M 500 TAB</t>
  </si>
  <si>
    <t>L0150001</t>
  </si>
  <si>
    <t>GASFIZ  SUSPENSION MINT FLAVOUR</t>
  </si>
  <si>
    <t>170 ML</t>
  </si>
  <si>
    <t>L1020001</t>
  </si>
  <si>
    <t>GASFIZ  SUSPENSION PAAN FLAVOUR</t>
  </si>
  <si>
    <t>L2140003</t>
  </si>
  <si>
    <t>GASFIZ RAFT MINT FLAVOUR 150ml</t>
  </si>
  <si>
    <t xml:space="preserve">150ml </t>
  </si>
  <si>
    <t>G4170005</t>
  </si>
  <si>
    <t>GASTOVENT-DSR CAP</t>
  </si>
  <si>
    <t>I4370001</t>
  </si>
  <si>
    <t>GASTOVENT-LSR CAP</t>
  </si>
  <si>
    <t>HEALODINE 10% SOLUTION 100ML</t>
  </si>
  <si>
    <t>Pett Square Bott</t>
  </si>
  <si>
    <t>HEALODINE GARGLE 100ML</t>
  </si>
  <si>
    <t>I8350001</t>
  </si>
  <si>
    <t>HEALODINE OINTMENT 15GM</t>
  </si>
  <si>
    <t>Lami
Tube</t>
  </si>
  <si>
    <t>HEALODINE POWDER</t>
  </si>
  <si>
    <t>10 GM</t>
  </si>
  <si>
    <t xml:space="preserve">Pet Bott </t>
  </si>
  <si>
    <t>I8250001</t>
  </si>
  <si>
    <t>HEALODINE-OZ OINTMENT 15GM</t>
  </si>
  <si>
    <t>L0390010</t>
  </si>
  <si>
    <t>HISTAREX SYRUP 100ML</t>
  </si>
  <si>
    <t xml:space="preserve">100 ml </t>
  </si>
  <si>
    <t>GC730002</t>
  </si>
  <si>
    <t>HISTAREX-10 TAB</t>
  </si>
  <si>
    <t>20X15</t>
  </si>
  <si>
    <t>GC740002</t>
  </si>
  <si>
    <t>HISTAREX-25 TAB</t>
  </si>
  <si>
    <t>GA590005</t>
  </si>
  <si>
    <t>HISTIGRA-120 TAB</t>
  </si>
  <si>
    <t>GA600004</t>
  </si>
  <si>
    <t>HISTIGRA-180 TAB</t>
  </si>
  <si>
    <t>I2680001</t>
  </si>
  <si>
    <t>HISTIGRA-M TAB</t>
  </si>
  <si>
    <t>HONIRYL SYRUP 100ML</t>
  </si>
  <si>
    <t>L0910003</t>
  </si>
  <si>
    <t>IBUVENT-PLUS SUSP. 100ml</t>
  </si>
  <si>
    <t>L0910001</t>
  </si>
  <si>
    <t>IBUVENT-PLUS SUSP. 60ML</t>
  </si>
  <si>
    <t>IC530001</t>
  </si>
  <si>
    <t>IBUVENT-PLUS TAB</t>
  </si>
  <si>
    <t>I4730001</t>
  </si>
  <si>
    <t>INDOVENT-25 CAP</t>
  </si>
  <si>
    <t>I4740001</t>
  </si>
  <si>
    <t>INDOVENT-SR CAP</t>
  </si>
  <si>
    <t>I9590001</t>
  </si>
  <si>
    <t>ITROMAX OC CREAM 15G</t>
  </si>
  <si>
    <t>G6330005</t>
  </si>
  <si>
    <t>ITROMAX SB 130 CAP</t>
  </si>
  <si>
    <t>G6320004</t>
  </si>
  <si>
    <t>ITROMAX SB 65 CAP</t>
  </si>
  <si>
    <t>G5720012</t>
  </si>
  <si>
    <t>ITROMAX-100 CAP 10'S</t>
  </si>
  <si>
    <t>Al -Strip</t>
  </si>
  <si>
    <t>G5630015</t>
  </si>
  <si>
    <t>ITROMAX-200 CAP 10'S</t>
  </si>
  <si>
    <t>KETOJET CT SOAP 75GM</t>
  </si>
  <si>
    <t>Mono-cartoon</t>
  </si>
  <si>
    <t>KETOJET SHAMPOO 110ML</t>
  </si>
  <si>
    <t>110 ML</t>
  </si>
  <si>
    <t xml:space="preserve">75 gm </t>
  </si>
  <si>
    <t>Soap</t>
  </si>
  <si>
    <t>IB670001</t>
  </si>
  <si>
    <t>KETOJET-200 TAB</t>
  </si>
  <si>
    <t>G2020004</t>
  </si>
  <si>
    <t>KETORIDE-DT TAB (20X15)</t>
  </si>
  <si>
    <t>IB340001</t>
  </si>
  <si>
    <t>KNEE GUARD TAB</t>
  </si>
  <si>
    <t>KNEEGUARD PLUS SOFTGEL</t>
  </si>
  <si>
    <t>blister</t>
  </si>
  <si>
    <t>GF190001</t>
  </si>
  <si>
    <t>LANSOUP 15 JUNIOR TAB</t>
  </si>
  <si>
    <t xml:space="preserve">10x10 </t>
  </si>
  <si>
    <t>L0330001</t>
  </si>
  <si>
    <t>LAXIVENT ORAL EMULSION 170ML</t>
  </si>
  <si>
    <t>L0340008</t>
  </si>
  <si>
    <t>LAXIVENT PLUS EMULSION 170ML (NEW PACK)</t>
  </si>
  <si>
    <t>LAXIVENT POWDER 100GM</t>
  </si>
  <si>
    <t>100GM</t>
  </si>
  <si>
    <t>I1630001</t>
  </si>
  <si>
    <t>LAXIVENT TAB</t>
  </si>
  <si>
    <t>4x5x10</t>
  </si>
  <si>
    <t>LEVOBUTA 0.63 MG RESPULES 10X5X2.5 ML</t>
  </si>
  <si>
    <t>10x5x2.5ml</t>
  </si>
  <si>
    <t>Respulses</t>
  </si>
  <si>
    <t>L0460001</t>
  </si>
  <si>
    <t>LEVOTRAMINE SYRUP 30ML</t>
  </si>
  <si>
    <t>LEVOTRAMINE-10 TAB</t>
  </si>
  <si>
    <t>G2100001</t>
  </si>
  <si>
    <t>LEVOTRAMINE-5 TAB</t>
  </si>
  <si>
    <t>I3750002</t>
  </si>
  <si>
    <t>LINAGLYS-5 TAB</t>
  </si>
  <si>
    <t>IF460001</t>
  </si>
  <si>
    <t>LINAGLYS-M 2.5/500 TAB</t>
  </si>
  <si>
    <t>IC540001</t>
  </si>
  <si>
    <t>LIPIVENT-10 TAB</t>
  </si>
  <si>
    <t>IC550001</t>
  </si>
  <si>
    <t>LIPIVENT-20 TAB</t>
  </si>
  <si>
    <t>IC560001</t>
  </si>
  <si>
    <t>LIPIVENT-40 TAB</t>
  </si>
  <si>
    <t>IA360001</t>
  </si>
  <si>
    <t>LIPIVENT-F 10 TAB</t>
  </si>
  <si>
    <t>G6180003</t>
  </si>
  <si>
    <t>LIPIVENT-GOLD 10 CAP (10X15)</t>
  </si>
  <si>
    <t>G6190003</t>
  </si>
  <si>
    <t>LIPIVENT-GOLD 20 CAP (10X15)</t>
  </si>
  <si>
    <t>LIVOMINTA FORTE SYRUP 200ML</t>
  </si>
  <si>
    <t>LIVOMINTA TAB</t>
  </si>
  <si>
    <t>30 GM</t>
  </si>
  <si>
    <t>IC570001</t>
  </si>
  <si>
    <t>LOSARIDE-H TAB</t>
  </si>
  <si>
    <t>IC580001</t>
  </si>
  <si>
    <t>LOXAQUIN-250 TAB</t>
  </si>
  <si>
    <t>G1300002</t>
  </si>
  <si>
    <t>LOXAQUIN-500 TAB</t>
  </si>
  <si>
    <t>I2060001</t>
  </si>
  <si>
    <t>LOXAQUIN-OZ TAB</t>
  </si>
  <si>
    <t>I9540001</t>
  </si>
  <si>
    <t>LULINAZ 10GM</t>
  </si>
  <si>
    <t>I9540002</t>
  </si>
  <si>
    <t>LULINAZ 20GM</t>
  </si>
  <si>
    <t>I9540004</t>
  </si>
  <si>
    <t>LULINAZ 30GM</t>
  </si>
  <si>
    <t>LULINAZ LOTION 30ML</t>
  </si>
  <si>
    <t>Pet Bott</t>
  </si>
  <si>
    <t>IC600001</t>
  </si>
  <si>
    <t>LUMIART TAB</t>
  </si>
  <si>
    <t>LYCORIDE SOFTGEL</t>
  </si>
  <si>
    <t>L0500001</t>
  </si>
  <si>
    <t>LYCORIDE SYRUP 225ML</t>
  </si>
  <si>
    <t>L0430001</t>
  </si>
  <si>
    <t>MEFTADOL-P FORTE 60ML</t>
  </si>
  <si>
    <t>I7470001</t>
  </si>
  <si>
    <t>MEFTADOL-P FORTE TAB</t>
  </si>
  <si>
    <t>L0350001</t>
  </si>
  <si>
    <t>MEFTADOL-P SUSP. 60ML</t>
  </si>
  <si>
    <t>IE070001</t>
  </si>
  <si>
    <t>MEFTADOL-SPAS DS TAB</t>
  </si>
  <si>
    <t>IC610001</t>
  </si>
  <si>
    <t>MEFTADOL-SPAS TAB</t>
  </si>
  <si>
    <t>MENSTAROL SYRUP 200ML</t>
  </si>
  <si>
    <t>ID660004</t>
  </si>
  <si>
    <t>METAXADOL-D TAB (10X10)</t>
  </si>
  <si>
    <t>I1520001</t>
  </si>
  <si>
    <t>METHOCORT-16 TAB</t>
  </si>
  <si>
    <t>I1510001</t>
  </si>
  <si>
    <t>METHOCORT-4 TAB</t>
  </si>
  <si>
    <t>IC140001</t>
  </si>
  <si>
    <t>METHOCORT-8 TAB</t>
  </si>
  <si>
    <t>IB370001</t>
  </si>
  <si>
    <t>METOVENT-25 XL TAB</t>
  </si>
  <si>
    <t>IC620001</t>
  </si>
  <si>
    <t>METOVENT-50 XL TAB</t>
  </si>
  <si>
    <t>IF790001</t>
  </si>
  <si>
    <t>MONTIRIDE-AB TAB (10X10)</t>
  </si>
  <si>
    <t>IE450005</t>
  </si>
  <si>
    <t>MONTIRIDE-LA TAB</t>
  </si>
  <si>
    <t>ID150001</t>
  </si>
  <si>
    <t>MONTIRIDE-LC TAB (20X10)</t>
  </si>
  <si>
    <t>B3140001</t>
  </si>
  <si>
    <t>MOXILANTA 250 CAP (M/Y)</t>
  </si>
  <si>
    <t>10x3x10</t>
  </si>
  <si>
    <t>B3150001</t>
  </si>
  <si>
    <t>MOXILANTA 500 CAP (M/Y)</t>
  </si>
  <si>
    <t>IB640001</t>
  </si>
  <si>
    <t>MOXILET-400 TAB</t>
  </si>
  <si>
    <t>10x1x5</t>
  </si>
  <si>
    <t>IE380001</t>
  </si>
  <si>
    <t>MUCOXIT-AB TAB</t>
  </si>
  <si>
    <t>I9560001</t>
  </si>
  <si>
    <t>MUPIVENT OINTMENT 5GM</t>
  </si>
  <si>
    <t>5gm</t>
  </si>
  <si>
    <t>L1670002</t>
  </si>
  <si>
    <t>MYLABION  SYRUP 200ml</t>
  </si>
  <si>
    <t xml:space="preserve">Monocarton </t>
  </si>
  <si>
    <t>I5050001</t>
  </si>
  <si>
    <t>MYLABION CAP</t>
  </si>
  <si>
    <t>I3720001</t>
  </si>
  <si>
    <t>MYLABION-D3 FORTE TAB</t>
  </si>
  <si>
    <t>IE120001</t>
  </si>
  <si>
    <t>MYLABION-LC TAB</t>
  </si>
  <si>
    <t>MYLABION-PLUS CAP</t>
  </si>
  <si>
    <t>NAPROMAX 250 TAB</t>
  </si>
  <si>
    <t>NAPROMAX 500 TAB</t>
  </si>
  <si>
    <t>IE250001</t>
  </si>
  <si>
    <t>NAPROMAX-D TAB</t>
  </si>
  <si>
    <t>GE840001</t>
  </si>
  <si>
    <t>NAUSINATE TAB</t>
  </si>
  <si>
    <t>GE850001</t>
  </si>
  <si>
    <t>NAUSINATE-PLUS TAB</t>
  </si>
  <si>
    <t>IG450001</t>
  </si>
  <si>
    <t>NEW MONTIRIDE-FXA TAB (10X1X10)</t>
  </si>
  <si>
    <t>IE140001</t>
  </si>
  <si>
    <t>NIMUVENT COLD TAB</t>
  </si>
  <si>
    <t>I7290001</t>
  </si>
  <si>
    <t>NIMUVENT-MD TAB</t>
  </si>
  <si>
    <t xml:space="preserve">NODIGYL DG GEL </t>
  </si>
  <si>
    <t>20g</t>
  </si>
  <si>
    <t>I8150001</t>
  </si>
  <si>
    <t>OFTIDERM-RF CREAM 15GM</t>
  </si>
  <si>
    <t>L0850001</t>
  </si>
  <si>
    <t>OFTIROL M 30ML</t>
  </si>
  <si>
    <t>Glass bottle</t>
  </si>
  <si>
    <t>L0850015</t>
  </si>
  <si>
    <t>OFTIROL M 60ML</t>
  </si>
  <si>
    <t>L0060005</t>
  </si>
  <si>
    <t>OFTIVENT SUSP. 60ML</t>
  </si>
  <si>
    <t>G1390001</t>
  </si>
  <si>
    <t>OFTIVENT-200 TAB</t>
  </si>
  <si>
    <t>L0420001</t>
  </si>
  <si>
    <t>OFTIVENT-M 30ML</t>
  </si>
  <si>
    <t>GC770006</t>
  </si>
  <si>
    <t>OFTIVENT-OZ TAB</t>
  </si>
  <si>
    <t>IC640001</t>
  </si>
  <si>
    <t>OMEFIZ CAP</t>
  </si>
  <si>
    <t>IC650001</t>
  </si>
  <si>
    <t>OMEFIZ-D CAP</t>
  </si>
  <si>
    <t>L0470001</t>
  </si>
  <si>
    <t>ONDILIUM DROPS</t>
  </si>
  <si>
    <t>Pet Bottle with Dropper</t>
  </si>
  <si>
    <t>IF850001</t>
  </si>
  <si>
    <t>ONDILIUM MD 8 TAB (20X10)</t>
  </si>
  <si>
    <t>GB810002</t>
  </si>
  <si>
    <t>ONDILIUM MD TAB</t>
  </si>
  <si>
    <t>I9230001</t>
  </si>
  <si>
    <t>ORAVENT GEL 15G</t>
  </si>
  <si>
    <t>I9680001</t>
  </si>
  <si>
    <t>ORAVENT PLUS GEL 5 GM</t>
  </si>
  <si>
    <t>5 gm</t>
  </si>
  <si>
    <t>ORAVENT TAB</t>
  </si>
  <si>
    <t>I4380018</t>
  </si>
  <si>
    <t>PANTOVENT LSR CAP</t>
  </si>
  <si>
    <t>ID550001</t>
  </si>
  <si>
    <t>PANTOVENT-40 TAB</t>
  </si>
  <si>
    <t>GC410002</t>
  </si>
  <si>
    <t>PANTOVENT-D TAB</t>
  </si>
  <si>
    <t>I4040001</t>
  </si>
  <si>
    <t>PANTOVENT-DSR CAP</t>
  </si>
  <si>
    <t>PHYLOBRON 200SR TAB</t>
  </si>
  <si>
    <t>I4260002</t>
  </si>
  <si>
    <t>PHYLOBRON CAP</t>
  </si>
  <si>
    <t>L1630001</t>
  </si>
  <si>
    <t>PHYLOBRON-XT SYRUP 100ML</t>
  </si>
  <si>
    <t>PICOVENT LAXATIVE 100ML</t>
  </si>
  <si>
    <t>PREGAVENT D 75/20 CAP</t>
  </si>
  <si>
    <t>I5070001</t>
  </si>
  <si>
    <t>PREGAVENT M 1500 TAB</t>
  </si>
  <si>
    <t>I4190001</t>
  </si>
  <si>
    <t>PREGAVENT-75 CAP</t>
  </si>
  <si>
    <t>IF840001</t>
  </si>
  <si>
    <t>PREGAVENT-ET TAB (20X10)</t>
  </si>
  <si>
    <t>I5320001</t>
  </si>
  <si>
    <t>PREGAVENT-M CAP</t>
  </si>
  <si>
    <t>GC520001</t>
  </si>
  <si>
    <t>PREGAVENT-NT TABLET</t>
  </si>
  <si>
    <t>GD360002</t>
  </si>
  <si>
    <t>PREGAVENT-NTM TAB</t>
  </si>
  <si>
    <t>PRIMOVENT-CR TAB</t>
  </si>
  <si>
    <t>PRIMOVENT-N TAB</t>
  </si>
  <si>
    <t>C4820003</t>
  </si>
  <si>
    <t>PRODITIL CV DRY SYP (100/62.5)</t>
  </si>
  <si>
    <t>PRODITIL CV DRY SYRUP</t>
  </si>
  <si>
    <t>C4410006</t>
  </si>
  <si>
    <t>PRODITIL DROPS</t>
  </si>
  <si>
    <t>Pet Bottle with WFI &amp; Dropper</t>
  </si>
  <si>
    <t>C4080022</t>
  </si>
  <si>
    <t>PRODITIL DRY SYP</t>
  </si>
  <si>
    <t>C1460012</t>
  </si>
  <si>
    <t>PRODITIL PLUS TAB (5X1X10)</t>
  </si>
  <si>
    <t>C4090015</t>
  </si>
  <si>
    <t>PRODITIL-100 DRY SYP</t>
  </si>
  <si>
    <t>C1120008</t>
  </si>
  <si>
    <t>PRODITIL-100 TAB</t>
  </si>
  <si>
    <t>C1150010</t>
  </si>
  <si>
    <t>PRODITIL-200 TAB</t>
  </si>
  <si>
    <t>C1470009</t>
  </si>
  <si>
    <t>PRODITIL-CV 325 TAB</t>
  </si>
  <si>
    <t>PROTIMINTA (AMERICAN ICECREAM) NEW</t>
  </si>
  <si>
    <t>200 GM</t>
  </si>
  <si>
    <t>PET-JAR</t>
  </si>
  <si>
    <t>PROTIMINTA (CHOCOLATE) NEW</t>
  </si>
  <si>
    <t>PROTIMINTA (KESAR-PISTA) NEW</t>
  </si>
  <si>
    <t>PROTIMINTA DHA (NEW)</t>
  </si>
  <si>
    <t>PET JAR</t>
  </si>
  <si>
    <t>I7960001</t>
  </si>
  <si>
    <t>QTVENT-25 TAB</t>
  </si>
  <si>
    <t>5x2x10</t>
  </si>
  <si>
    <t>I7970001</t>
  </si>
  <si>
    <t>QTVENT-50 TAB</t>
  </si>
  <si>
    <t>RANILIUM SPAS 30ML</t>
  </si>
  <si>
    <t>IE060001</t>
  </si>
  <si>
    <t>RANILIUM SPAS TAB</t>
  </si>
  <si>
    <t>RANILIUM-D TAB</t>
  </si>
  <si>
    <t>L1240003</t>
  </si>
  <si>
    <t>RANILIUM-MPS SUSPENSION 170ML</t>
  </si>
  <si>
    <t xml:space="preserve">170 ml </t>
  </si>
  <si>
    <t>RANILIUM-O TAB</t>
  </si>
  <si>
    <t>L1590001</t>
  </si>
  <si>
    <t>RANILIUM-PD SYRUP 100ML</t>
  </si>
  <si>
    <t>I7610004</t>
  </si>
  <si>
    <t>RAZODROT-40 TAB (10X15)</t>
  </si>
  <si>
    <t>I7620007</t>
  </si>
  <si>
    <t>RAZODROT--DS TAB (10X15)</t>
  </si>
  <si>
    <t>IC660001</t>
  </si>
  <si>
    <t>RAZODROT-M TAB</t>
  </si>
  <si>
    <t>IB470011</t>
  </si>
  <si>
    <t>RAZOSPAS-TX TAB (10X10)</t>
  </si>
  <si>
    <t>I2440001</t>
  </si>
  <si>
    <t>RAZOTRAN-500 TAB</t>
  </si>
  <si>
    <t>REJUVITAL SOFTGEL</t>
  </si>
  <si>
    <t>20X1X10</t>
  </si>
  <si>
    <t>GA940002</t>
  </si>
  <si>
    <t>ROZUCARD-10 TAB</t>
  </si>
  <si>
    <t>GA950002</t>
  </si>
  <si>
    <t>ROZUCARD-20 TAB</t>
  </si>
  <si>
    <t>IB420001</t>
  </si>
  <si>
    <t>ROZUCARD-F TAB</t>
  </si>
  <si>
    <t>G6110003</t>
  </si>
  <si>
    <t>ROZUCARD-GOLD 10 CAP (10X1X10)</t>
  </si>
  <si>
    <t>G6120003</t>
  </si>
  <si>
    <t>ROZUCARD-GOLD 20 CAP (10X1X10)</t>
  </si>
  <si>
    <t>IC670006</t>
  </si>
  <si>
    <t>RTQS-200 TAB (10X15)</t>
  </si>
  <si>
    <t>GH280001</t>
  </si>
  <si>
    <t>RTQS-TOFA TAB 20X10</t>
  </si>
  <si>
    <t>ALU-ALU</t>
  </si>
  <si>
    <t>SCABITICK-VET SOAP 75GM</t>
  </si>
  <si>
    <t>75 gm</t>
  </si>
  <si>
    <t>SENSOVENT MOUTHWASH 100ML</t>
  </si>
  <si>
    <t>Pet bott</t>
  </si>
  <si>
    <t>SENSOVENT-F TOOTH PASTE</t>
  </si>
  <si>
    <t>G7240002</t>
  </si>
  <si>
    <t>SERRAVENT D TAB</t>
  </si>
  <si>
    <t>6x5x10</t>
  </si>
  <si>
    <t>G5780003</t>
  </si>
  <si>
    <t>SILDOSTAT-8 CAP</t>
  </si>
  <si>
    <t>IF280004</t>
  </si>
  <si>
    <t>SILDOSTAT-D8 CAP (10X1X10)</t>
  </si>
  <si>
    <t>SINOVENT DM SOFTGEL</t>
  </si>
  <si>
    <t>L0190001</t>
  </si>
  <si>
    <t>SINOVENT DM SYRUP 100ML</t>
  </si>
  <si>
    <t>L0190002</t>
  </si>
  <si>
    <t>SINOVENT DM SYRUP 60ML</t>
  </si>
  <si>
    <t>L0160001</t>
  </si>
  <si>
    <t>SINOVENT DS SUSP. 60ML</t>
  </si>
  <si>
    <t>GD100004</t>
  </si>
  <si>
    <t>SINOVENT FORTE TAB</t>
  </si>
  <si>
    <t>25X2X10</t>
  </si>
  <si>
    <t>SINOVENT NASAL SPRAY 10ML</t>
  </si>
  <si>
    <t>SINOVENT SALINE NASAL SPRAY 20ML</t>
  </si>
  <si>
    <t>L0180001</t>
  </si>
  <si>
    <t>SINOVENT SUSP. 60ML</t>
  </si>
  <si>
    <t>G1660001</t>
  </si>
  <si>
    <t>SINOVENT TAB</t>
  </si>
  <si>
    <t>SINOVENT VAPOR CAP</t>
  </si>
  <si>
    <t>GG490001</t>
  </si>
  <si>
    <t>SITAGLYS - D TAB (100/10)</t>
  </si>
  <si>
    <t>G1790003</t>
  </si>
  <si>
    <t>SITAGLYS 100 TAB</t>
  </si>
  <si>
    <t xml:space="preserve">4x7 </t>
  </si>
  <si>
    <t>PVDC strip</t>
  </si>
  <si>
    <t>G1780003</t>
  </si>
  <si>
    <t>SITAGLYS 50 TAB</t>
  </si>
  <si>
    <t>SITAGLYS DM TAB (100/10/1000)</t>
  </si>
  <si>
    <t>SITAGLYS DM TAB (100/10/500)</t>
  </si>
  <si>
    <t>G7700003</t>
  </si>
  <si>
    <t>SITAGLYS M TAB 50/1000</t>
  </si>
  <si>
    <t>2x15</t>
  </si>
  <si>
    <t>G7680003</t>
  </si>
  <si>
    <t>SITAGLYS M TAB 50/500</t>
  </si>
  <si>
    <t>SKIN BLOOM CREAM 15GM</t>
  </si>
  <si>
    <t>SOFEGEST 200 SOFTGEL</t>
  </si>
  <si>
    <t>SORAVENT 6 OINTMENT</t>
  </si>
  <si>
    <t>30 gm</t>
  </si>
  <si>
    <t>L1680002</t>
  </si>
  <si>
    <t>SPASMOVENT SUSP. 60ML</t>
  </si>
  <si>
    <t>60ML</t>
  </si>
  <si>
    <t>GC330009</t>
  </si>
  <si>
    <t>TELIROL CT 40/12.5 TAB</t>
  </si>
  <si>
    <t>GC850005</t>
  </si>
  <si>
    <t>TELIROL TRIO 40 TAB</t>
  </si>
  <si>
    <t>GA270004</t>
  </si>
  <si>
    <t>TELIROL-40 TAB</t>
  </si>
  <si>
    <t>GD190016</t>
  </si>
  <si>
    <t>TELIROL-AM TAB</t>
  </si>
  <si>
    <t>G2990007</t>
  </si>
  <si>
    <t>TELIROL-H TAB</t>
  </si>
  <si>
    <t>TENLIVENT-20 TAB</t>
  </si>
  <si>
    <t>TENLIVENT-M 1000 TAB</t>
  </si>
  <si>
    <t>TENLIVENT-M 500 TAB</t>
  </si>
  <si>
    <t>I8370001</t>
  </si>
  <si>
    <t>TERBIRIDE-15GM CREAM</t>
  </si>
  <si>
    <t>I2910001</t>
  </si>
  <si>
    <t>TERBIRIDE-250 TAB</t>
  </si>
  <si>
    <t>10x1x7</t>
  </si>
  <si>
    <t>I1680001</t>
  </si>
  <si>
    <t>TERBIRIDE-500 TAB</t>
  </si>
  <si>
    <t>GB710002</t>
  </si>
  <si>
    <t>TORIGESIC PLUS TAB (20X10)</t>
  </si>
  <si>
    <t>IA580001</t>
  </si>
  <si>
    <t>TORIGESIC-120 TAB</t>
  </si>
  <si>
    <t>IA510001</t>
  </si>
  <si>
    <t>TORIGESIC-60 TAB</t>
  </si>
  <si>
    <t>GA350001</t>
  </si>
  <si>
    <t>TORIGESIC-90 TAB</t>
  </si>
  <si>
    <t>G2300001</t>
  </si>
  <si>
    <t>TORIGESIC-TH4 TAB</t>
  </si>
  <si>
    <t>IF710001</t>
  </si>
  <si>
    <t>TORIGESIC-TH8 TAB (10X1X10)</t>
  </si>
  <si>
    <t>IA050001</t>
  </si>
  <si>
    <t>TORSEVENT-10 TAB</t>
  </si>
  <si>
    <t>IA040001</t>
  </si>
  <si>
    <t>TORSEVENT-20 TAB</t>
  </si>
  <si>
    <t>IE010004</t>
  </si>
  <si>
    <t>TORSEVENT-PLUS TAB (10X15)</t>
  </si>
  <si>
    <t>TRIZACET COLD DS RF SUSP. 60ml</t>
  </si>
  <si>
    <t>TRIZACET COLD RF SUSP.60ml</t>
  </si>
  <si>
    <t>L0220001</t>
  </si>
  <si>
    <t>TRIZACET SYRUP 60ML</t>
  </si>
  <si>
    <t>GD090001</t>
  </si>
  <si>
    <t>TRIZACET TAB</t>
  </si>
  <si>
    <t>40x15</t>
  </si>
  <si>
    <t>TRIZACET-COLD RF TAB</t>
  </si>
  <si>
    <t>25x10</t>
  </si>
  <si>
    <t>TUSSTON LOZENGES ORANGE (JAR)</t>
  </si>
  <si>
    <t>35x10</t>
  </si>
  <si>
    <t xml:space="preserve">Jar Pack </t>
  </si>
  <si>
    <t>L0480001</t>
  </si>
  <si>
    <t>TUSSTON SUPER SYRUP 100ML</t>
  </si>
  <si>
    <t>L0480002</t>
  </si>
  <si>
    <t>TUSSTON SUPER SYRUP 60ML</t>
  </si>
  <si>
    <t>IF550002</t>
  </si>
  <si>
    <t>TUSSTON SUPER-NF TAB (20X10)</t>
  </si>
  <si>
    <t>IA210001</t>
  </si>
  <si>
    <t>UDIVENT-150 TAB</t>
  </si>
  <si>
    <t>IA220001</t>
  </si>
  <si>
    <t>UDIVENT-300  TAB</t>
  </si>
  <si>
    <t>D0080005</t>
  </si>
  <si>
    <t>ULTAVIR SUSP.15.96/30ml</t>
  </si>
  <si>
    <t>Bottle With WFI</t>
  </si>
  <si>
    <t>URIRIDE 0.4 CAP (10X20)</t>
  </si>
  <si>
    <t>10X20</t>
  </si>
  <si>
    <t>I4790001</t>
  </si>
  <si>
    <t>URIRIDE-D CAP</t>
  </si>
  <si>
    <t>IB730001</t>
  </si>
  <si>
    <t>UTISPAS TAB</t>
  </si>
  <si>
    <t>L1140001</t>
  </si>
  <si>
    <t>VENTOCAIN GEL 170ML</t>
  </si>
  <si>
    <t>L0210001</t>
  </si>
  <si>
    <t>VENTOCAL SUSP. 200ML</t>
  </si>
  <si>
    <t>GC370001</t>
  </si>
  <si>
    <t>VENTOCAL-500 TAB</t>
  </si>
  <si>
    <t>VENTOCAL-D3 NANO SHOT</t>
  </si>
  <si>
    <t>4x5ml</t>
  </si>
  <si>
    <t xml:space="preserve">Glass Bottle </t>
  </si>
  <si>
    <t>VENTOCAL-D3 SOFTGEL</t>
  </si>
  <si>
    <t>10x1x4</t>
  </si>
  <si>
    <t>GG600001</t>
  </si>
  <si>
    <t>VENTOCAL-XT TAB (20X15)</t>
  </si>
  <si>
    <t>GE090003</t>
  </si>
  <si>
    <t>VENTOCEE-Z TAB (20X10)</t>
  </si>
  <si>
    <t>Strip</t>
  </si>
  <si>
    <t>VENTOKAST LC JUNIOR TAB</t>
  </si>
  <si>
    <t>L0050009</t>
  </si>
  <si>
    <t>VENTOKAST LC SYRUP 60ML</t>
  </si>
  <si>
    <t>L0050001</t>
  </si>
  <si>
    <t>VENTOKAST-LC 30 ML</t>
  </si>
  <si>
    <t>IA160001</t>
  </si>
  <si>
    <t>VENTOKAST-LC TAB</t>
  </si>
  <si>
    <t>20x1x10</t>
  </si>
  <si>
    <t>ID110002</t>
  </si>
  <si>
    <t>VENTOPHYLIN-400 TAB (SMALL DS)</t>
  </si>
  <si>
    <t>I7950001</t>
  </si>
  <si>
    <t>VENTOPHYLINE-S TAB</t>
  </si>
  <si>
    <t>I7860002</t>
  </si>
  <si>
    <t>VENTOPHYLIN-M TAB</t>
  </si>
  <si>
    <t>VENTOPHYLIN-XL TAB</t>
  </si>
  <si>
    <t>I9690001</t>
  </si>
  <si>
    <t>VENTORAN 2X PAIN GEL 30GM</t>
  </si>
  <si>
    <t>VENTORAN 2X PAIN SPRAY</t>
  </si>
  <si>
    <t xml:space="preserve">Bottle </t>
  </si>
  <si>
    <t>VENTORAN 2X PAIN SPRAY 35G</t>
  </si>
  <si>
    <t xml:space="preserve">35 gm </t>
  </si>
  <si>
    <t>I8040002</t>
  </si>
  <si>
    <t>VENTORAN PAIN GEL 10 GM</t>
  </si>
  <si>
    <t>I8040001</t>
  </si>
  <si>
    <t>VENTORAN PAIN GEL 30 GM</t>
  </si>
  <si>
    <t>VENTORAN PAIN OIL 50ML</t>
  </si>
  <si>
    <t xml:space="preserve">50 ml </t>
  </si>
  <si>
    <t>I2410001</t>
  </si>
  <si>
    <t>VENTORAN-100 SR TAB</t>
  </si>
  <si>
    <t>G1540001</t>
  </si>
  <si>
    <t>VENTORAN-A TAB</t>
  </si>
  <si>
    <t>G2230002</t>
  </si>
  <si>
    <t>VENTORAN-MR TAB (PLASTIC BOX)</t>
  </si>
  <si>
    <t>80x10</t>
  </si>
  <si>
    <t>Blister + Plastic Box</t>
  </si>
  <si>
    <t>G1810003</t>
  </si>
  <si>
    <t>VENTORAN-SP TAB</t>
  </si>
  <si>
    <t>VENTOSCAB LOTION 100ML</t>
  </si>
  <si>
    <t>VENTOSCAB P SOAP 75GM</t>
  </si>
  <si>
    <t>Per Soap</t>
  </si>
  <si>
    <t>L0950001</t>
  </si>
  <si>
    <t>VENTOTUS-L SYRUP 100ML</t>
  </si>
  <si>
    <t>L0810002</t>
  </si>
  <si>
    <t>VENTOXOL SYRUP 100ML</t>
  </si>
  <si>
    <t>L0810003</t>
  </si>
  <si>
    <t>VENTOXOL SYRUP 60ML</t>
  </si>
  <si>
    <t>L0040003</t>
  </si>
  <si>
    <t>VENTOXOL-L 100 ML</t>
  </si>
  <si>
    <t>L0040006</t>
  </si>
  <si>
    <t>VENTOXOL-L SYRUP 60ML</t>
  </si>
  <si>
    <t>L0130002</t>
  </si>
  <si>
    <t>VENTOXOL-LS DROPS 15ML</t>
  </si>
  <si>
    <t>L0880001</t>
  </si>
  <si>
    <t>VENTOXOL-LS JUNIOR 100ML</t>
  </si>
  <si>
    <t>L0880002</t>
  </si>
  <si>
    <t>VENTOXOL-LS JUNIOR 60ML</t>
  </si>
  <si>
    <t>D0030001</t>
  </si>
  <si>
    <t>VENZOLID DRY SYRUP</t>
  </si>
  <si>
    <t>ID990001</t>
  </si>
  <si>
    <t>VENZOLID-600 TAB 10'S</t>
  </si>
  <si>
    <t>VITURNA WASH 100ML</t>
  </si>
  <si>
    <t>Pett with Mono</t>
  </si>
  <si>
    <t>GG290001</t>
  </si>
  <si>
    <t>VOGLIVENT-MG1 TAB (10X2X15)</t>
  </si>
  <si>
    <t>GE140001</t>
  </si>
  <si>
    <t>VOGLIVENT-MG2 TAB (10X2X15)</t>
  </si>
  <si>
    <t>C4100006</t>
  </si>
  <si>
    <t>XIOTIL DRY SYP</t>
  </si>
  <si>
    <t>C1160026</t>
  </si>
  <si>
    <t>XIOTIL-250 TAB (NEW)</t>
  </si>
  <si>
    <t>C1170029</t>
  </si>
  <si>
    <t>XIOTIL-500 TAB (NEW)</t>
  </si>
  <si>
    <t>C1600007</t>
  </si>
  <si>
    <t>XIOTIL-CV 625 TAB</t>
  </si>
  <si>
    <t>YUVIGRA LA TAB</t>
  </si>
  <si>
    <t>20x1x4</t>
  </si>
  <si>
    <t>IF820001</t>
  </si>
  <si>
    <t>YUVIGRA-LA FORTE TAB (24X1X4)</t>
  </si>
  <si>
    <t>24x1x4</t>
  </si>
  <si>
    <t>ZINCOMINTA SYRUP 200ML</t>
  </si>
  <si>
    <t>ZINCOMINTA-RICH SOFTGEL</t>
  </si>
  <si>
    <t>D0010005</t>
  </si>
  <si>
    <t>ZITHROSET-100 XL DRY SYRUP</t>
  </si>
  <si>
    <t>D0020005</t>
  </si>
  <si>
    <t>ZITHROSET-200 XL DRY SYRUP</t>
  </si>
  <si>
    <t>IC710001</t>
  </si>
  <si>
    <t>ZITHROSET-250 TAB</t>
  </si>
  <si>
    <t>20x1x6</t>
  </si>
  <si>
    <t>IC720002</t>
  </si>
  <si>
    <t>ZITHROSET-500 TAB</t>
  </si>
  <si>
    <t>20x1x3</t>
  </si>
  <si>
    <t>C1760001</t>
  </si>
  <si>
    <t>ZYFIX 200-LB TAB</t>
  </si>
  <si>
    <t>INSTA PLAY (CHOCOLATE FLAVOUR)</t>
  </si>
  <si>
    <t>48x1x3N</t>
  </si>
  <si>
    <t>1x3N Mono Pack</t>
  </si>
  <si>
    <t>INSTA PLAY (STRAWBERRY FLAVOUR)</t>
  </si>
  <si>
    <t>INSTA PLAY (EXTRA TIME)</t>
  </si>
  <si>
    <t>INSTA PLAY (ULTRA THIN)</t>
  </si>
  <si>
    <t>KNEEGUARD SACHET 5GM</t>
  </si>
  <si>
    <t>10x5gm</t>
  </si>
  <si>
    <t>Sachet</t>
  </si>
  <si>
    <t>TELIROL B-2.5 TAB</t>
  </si>
  <si>
    <t>TELIROL B-5 TAB</t>
  </si>
  <si>
    <t>I2400005</t>
  </si>
  <si>
    <t>ZITHROSET-3 KIT</t>
  </si>
  <si>
    <t>1x04</t>
  </si>
  <si>
    <t>L2260002</t>
  </si>
  <si>
    <t>UDIVENT ORAL SUSP. 100 ML</t>
  </si>
  <si>
    <t>Pet with Mono</t>
  </si>
  <si>
    <t>IG240003</t>
  </si>
  <si>
    <t>MIGRAVENT TAB (20X10)</t>
  </si>
  <si>
    <t>IF490003</t>
  </si>
  <si>
    <t>CLINDAROL-300CAP (10X1X10)</t>
  </si>
  <si>
    <t xml:space="preserve">20x10 </t>
  </si>
  <si>
    <t>IB190024</t>
  </si>
  <si>
    <t>EPILEVITRA-500 TAB (20X10)</t>
  </si>
  <si>
    <t>GABAVENT CREAM 30GM</t>
  </si>
  <si>
    <t>30gm</t>
  </si>
  <si>
    <t>Lami-Tube</t>
  </si>
  <si>
    <t>IG410001</t>
  </si>
  <si>
    <t>TIZAMAX-MR TAB (10X2X10)</t>
  </si>
  <si>
    <t>VENTOPHAGUS-20 TAB</t>
  </si>
  <si>
    <t>SENSOVENT TOOTH PASTE 80GM</t>
  </si>
  <si>
    <t>80 GM</t>
  </si>
  <si>
    <t>J2010006</t>
  </si>
  <si>
    <t>J2080006</t>
  </si>
  <si>
    <t>J2090002</t>
  </si>
  <si>
    <t>J2130002</t>
  </si>
  <si>
    <t>10X5X3ML</t>
  </si>
  <si>
    <t>10x5x2ml</t>
  </si>
  <si>
    <t xml:space="preserve">Pett Bottle </t>
  </si>
  <si>
    <t>BUDERON RESPULES 0.5mg</t>
  </si>
  <si>
    <t>MUPIVENT OINTMENT 15GM</t>
  </si>
  <si>
    <t>EPILEVITRA-1000 TAB (10X10)</t>
  </si>
  <si>
    <t>EPILEVITRA-250 TAB (10X10)</t>
  </si>
  <si>
    <t>EPILEVITRA-750 TAB (10X10)</t>
  </si>
  <si>
    <t>I2640006</t>
  </si>
  <si>
    <t>IB180009</t>
  </si>
  <si>
    <t>I2630005</t>
  </si>
  <si>
    <t>IB940002</t>
  </si>
  <si>
    <t>FLUCOVENT 200 TAB (40X1)</t>
  </si>
  <si>
    <t>40x1</t>
  </si>
  <si>
    <t>LIVOMINTA SL SOFTGEL</t>
  </si>
  <si>
    <t>REJUVITAL MUSLI-GOLD CAPSULE</t>
  </si>
  <si>
    <t>I9770001</t>
  </si>
  <si>
    <t>LULINAZ 4D CREAM 20GM</t>
  </si>
  <si>
    <t>CILAROL M-25 TAB</t>
  </si>
  <si>
    <t>CILAROL M-50 TAB</t>
  </si>
  <si>
    <t>PTS</t>
  </si>
  <si>
    <t>DIVISION</t>
  </si>
  <si>
    <t>J2070002</t>
  </si>
  <si>
    <t>GLYCOLIUM RESPULES</t>
  </si>
  <si>
    <t>10X5X2ml</t>
  </si>
  <si>
    <t>BUDERON-F RESPULES (4x5x2ml)</t>
  </si>
  <si>
    <t>4X5X2ML</t>
  </si>
  <si>
    <t>GH390001</t>
  </si>
  <si>
    <t>BILOTRA 40 TAB</t>
  </si>
  <si>
    <t>MUCOXIT-600 TAB</t>
  </si>
  <si>
    <t xml:space="preserve">30 ml </t>
  </si>
  <si>
    <t xml:space="preserve">Glass Bottle With WFI </t>
  </si>
  <si>
    <t>AL-STRIP</t>
  </si>
  <si>
    <t>G7530004</t>
  </si>
  <si>
    <t>AMLOVENT-5 TAB (20X14)</t>
  </si>
  <si>
    <t xml:space="preserve"> 20X14</t>
  </si>
  <si>
    <t>APILACTIN-PLUS DROPS 30ml</t>
  </si>
  <si>
    <t xml:space="preserve">Pet Bottle with Dropper </t>
  </si>
  <si>
    <t>LULINAZ SPRAY 30ML</t>
  </si>
  <si>
    <t>B4030003</t>
  </si>
  <si>
    <t>MOXILANTA-CV 228.5 DRY SYP 3.3/ 30ML</t>
  </si>
  <si>
    <t>B0070002</t>
  </si>
  <si>
    <t>MOXILANTA-CV 228.5 TAB 10X1X10</t>
  </si>
  <si>
    <t>B0030003</t>
  </si>
  <si>
    <t xml:space="preserve">MOXILANTA-CV 375 TAB </t>
  </si>
  <si>
    <t>B4040003</t>
  </si>
  <si>
    <t>MOXILANTA-CV 457 DRY SYP 5.4/ 30ML</t>
  </si>
  <si>
    <t>B0040003</t>
  </si>
  <si>
    <t>MOXILANTA-CV 625 TAB 10X1X10</t>
  </si>
  <si>
    <t>B4020002</t>
  </si>
  <si>
    <t>MOXILANTA-CV DROP 10ML</t>
  </si>
  <si>
    <t>10ML</t>
  </si>
  <si>
    <t>HDPE bottle with WFR</t>
  </si>
  <si>
    <t>SINOVENT RUB 10GM</t>
  </si>
  <si>
    <t>10g</t>
  </si>
  <si>
    <t>SINOVENT RUB 25GM</t>
  </si>
  <si>
    <t>25g</t>
  </si>
  <si>
    <t>THYROVENT-100 TAB</t>
  </si>
  <si>
    <t>10x1x100</t>
  </si>
  <si>
    <t>Glass Bottle With Mono</t>
  </si>
  <si>
    <t>THYROVENT-25 TAB</t>
  </si>
  <si>
    <t>THYROVENT-50 TAB</t>
  </si>
  <si>
    <t>THYROVENT-75 TAB</t>
  </si>
  <si>
    <t>L1050001</t>
  </si>
  <si>
    <t>VENTOPLEX-L SYRUP 200ml</t>
  </si>
  <si>
    <t>GD960003</t>
  </si>
  <si>
    <t>ZINCOMINTA TAB (10X10)</t>
  </si>
  <si>
    <t>C1770001</t>
  </si>
  <si>
    <t>ZYFIX 100-LB TAB</t>
  </si>
  <si>
    <t>C4180044</t>
  </si>
  <si>
    <t>ZYFIX-100 DRY SYP</t>
  </si>
  <si>
    <t>C2280003</t>
  </si>
  <si>
    <t>ZYFIX-100 TAB (20X10)</t>
  </si>
  <si>
    <t>C1210068</t>
  </si>
  <si>
    <t>ZYFIX-200 TAB (20X10)</t>
  </si>
  <si>
    <t>C4060048</t>
  </si>
  <si>
    <t>ZYFIX-O ORAL SUSP</t>
  </si>
  <si>
    <t>C1090080</t>
  </si>
  <si>
    <t>ZYFIX-O TAB (10X10)</t>
  </si>
  <si>
    <t>ULTIMA</t>
  </si>
  <si>
    <t>ESOVENT-40 TAB (20x15)</t>
  </si>
  <si>
    <t>SINONEB-3% RESPULES (5x10X4ml)</t>
  </si>
  <si>
    <t>5x10x4ml</t>
  </si>
  <si>
    <t>PANTOVENT DSR CAP (NEW PACK)</t>
  </si>
  <si>
    <t>GASTOVENT DSR CAP (NEW PACK)</t>
  </si>
  <si>
    <t>TOTAL</t>
  </si>
  <si>
    <t>ORDER QTY</t>
  </si>
  <si>
    <t>ORDER VALUE</t>
  </si>
  <si>
    <t xml:space="preserve">UML_ULTIMA PTS PRICE LIST FOR THE MONTH OF JUNE 2026-27 </t>
  </si>
  <si>
    <t>I3060008</t>
  </si>
  <si>
    <t>ACCUZITH-250 TAB (20X6)</t>
  </si>
  <si>
    <t>20x6</t>
  </si>
  <si>
    <t>OPTIMA</t>
  </si>
  <si>
    <t>I3070006</t>
  </si>
  <si>
    <t>ACCUZITH-500 TAB (30X3)</t>
  </si>
  <si>
    <t>30x3</t>
  </si>
  <si>
    <t>IC900004</t>
  </si>
  <si>
    <t>ACCUZITH-500 XL TAB</t>
  </si>
  <si>
    <t>10x5</t>
  </si>
  <si>
    <t>AUXTOCEF-250 TAB</t>
  </si>
  <si>
    <t>AUXTOCEF-500 TAB</t>
  </si>
  <si>
    <t>BACTOFIX-200DT TAB (20X10)</t>
  </si>
  <si>
    <t>C1090085</t>
  </si>
  <si>
    <t>BACTOFIX-O TAB (20X10)</t>
  </si>
  <si>
    <t>BACTOFIX-XL TAB</t>
  </si>
  <si>
    <t>C5570002</t>
  </si>
  <si>
    <t>BACTOPRAZ S 1.5G INJ</t>
  </si>
  <si>
    <t>VIAL</t>
  </si>
  <si>
    <t>IC510001</t>
  </si>
  <si>
    <t>BACTOSPAN-250 TAB</t>
  </si>
  <si>
    <t>I1130001</t>
  </si>
  <si>
    <t>BACTOSPAN-500 TAB</t>
  </si>
  <si>
    <t>BECOMINTA 12 COMBIPACK</t>
  </si>
  <si>
    <t>24x3</t>
  </si>
  <si>
    <t xml:space="preserve">Combi Pack </t>
  </si>
  <si>
    <t>BURNOLIUM CREAM 20GM</t>
  </si>
  <si>
    <t>C4090054</t>
  </si>
  <si>
    <t>CEFPOVENT-100 DRY SYRUP</t>
  </si>
  <si>
    <t>CEFPOVENT-100 TAB (20X10)</t>
  </si>
  <si>
    <t>CEFPOVENT-200 TAB (10X10)</t>
  </si>
  <si>
    <t>C4080073</t>
  </si>
  <si>
    <t>CEFPOVENT-50 DRY SYRUP</t>
  </si>
  <si>
    <t>C5580003</t>
  </si>
  <si>
    <t>CEFTIROL 250 INJ</t>
  </si>
  <si>
    <t>7.5 ML</t>
  </si>
  <si>
    <t>C5590002</t>
  </si>
  <si>
    <t>CEFTIROL 500 INJ</t>
  </si>
  <si>
    <t>C5060013</t>
  </si>
  <si>
    <t>CEFTIROL S-1.5 INJ</t>
  </si>
  <si>
    <t>C5040005</t>
  </si>
  <si>
    <t>CEFTIROL S-375 INJ</t>
  </si>
  <si>
    <t>C5050004</t>
  </si>
  <si>
    <t>CEFTIROL S-750 INJ</t>
  </si>
  <si>
    <t>C5030014</t>
  </si>
  <si>
    <t>CEFTIROL-1G INJ</t>
  </si>
  <si>
    <t>C5610003</t>
  </si>
  <si>
    <t>CEFTIROL-T 1.125 INJ</t>
  </si>
  <si>
    <t>C6420004</t>
  </si>
  <si>
    <t>CEFTIROL-T 281.25MG INJ</t>
  </si>
  <si>
    <t>20ML</t>
  </si>
  <si>
    <t>Vial</t>
  </si>
  <si>
    <t>C6430004</t>
  </si>
  <si>
    <t>CEFTIROL-T 562.5MG INJ</t>
  </si>
  <si>
    <t>GF450001</t>
  </si>
  <si>
    <t>CETROVENT-10 TAB</t>
  </si>
  <si>
    <t>20x8x10</t>
  </si>
  <si>
    <t>J5020002</t>
  </si>
  <si>
    <t>CORTIDRON-100 INJ</t>
  </si>
  <si>
    <t>IA570051</t>
  </si>
  <si>
    <t>DECACORTIL-6 TAB (20X10)</t>
  </si>
  <si>
    <t>IF570001</t>
  </si>
  <si>
    <t>DERMOVENT FP TAB (10X2X10)</t>
  </si>
  <si>
    <t>GD670003</t>
  </si>
  <si>
    <t>DOLORIDE-P TAB (10X2X15)</t>
  </si>
  <si>
    <t>GD670001</t>
  </si>
  <si>
    <t>DOLORIDE-P TAB (BLISTER)</t>
  </si>
  <si>
    <t>GC760005</t>
  </si>
  <si>
    <t>DOLORIDE-SP TAB (20X10)</t>
  </si>
  <si>
    <t>DYDROBENZ 10 TAB</t>
  </si>
  <si>
    <t>P1030002</t>
  </si>
  <si>
    <t>FAROGARD 200 TAB</t>
  </si>
  <si>
    <t xml:space="preserve">Al Strip </t>
  </si>
  <si>
    <t>P1010002</t>
  </si>
  <si>
    <t>FAROGARD 300 TAB</t>
  </si>
  <si>
    <t>FAROGARD SYRUP</t>
  </si>
  <si>
    <t>L0670001</t>
  </si>
  <si>
    <t>FEPADOL KID DROPS</t>
  </si>
  <si>
    <t>L0450001</t>
  </si>
  <si>
    <t>FEPADOL-250 SUSP. 60ML</t>
  </si>
  <si>
    <t>G2700001</t>
  </si>
  <si>
    <t>FEPADOL-500 TAB</t>
  </si>
  <si>
    <t>50x10</t>
  </si>
  <si>
    <t>GE710001</t>
  </si>
  <si>
    <t>FEPADOL-650 TAB NEW PACK</t>
  </si>
  <si>
    <t>FERIVENT INJ</t>
  </si>
  <si>
    <t>HEALODINE 5% SOLUTION 500ML</t>
  </si>
  <si>
    <t>500 ML</t>
  </si>
  <si>
    <t>L1280003</t>
  </si>
  <si>
    <t>LACTUROL SOLUTION 100ml</t>
  </si>
  <si>
    <t>L1280001</t>
  </si>
  <si>
    <t>LACTUROL SOLUTION 170ML</t>
  </si>
  <si>
    <t>LIVOMINTA SYRUP 200ML</t>
  </si>
  <si>
    <t>LIZUBIOTIC-600 TAB (10X1X10)</t>
  </si>
  <si>
    <t>Alu-alu</t>
  </si>
  <si>
    <t>LODICAINE GEL</t>
  </si>
  <si>
    <t>lami tube</t>
  </si>
  <si>
    <t>C5390002</t>
  </si>
  <si>
    <t>MERORIDE-1000 INJ</t>
  </si>
  <si>
    <t>J5040001</t>
  </si>
  <si>
    <t>METHOCORT 40 INJ Succinate</t>
  </si>
  <si>
    <t>40mg</t>
  </si>
  <si>
    <t>Glass Bottle with WFI Vial</t>
  </si>
  <si>
    <t>METHOCORT INJ 2ML</t>
  </si>
  <si>
    <t>2 ML</t>
  </si>
  <si>
    <t>MIKAROL-500 INJ</t>
  </si>
  <si>
    <t>40x2 ML</t>
  </si>
  <si>
    <t>VIAL with mono</t>
  </si>
  <si>
    <t>MYLABION-1500 INJ</t>
  </si>
  <si>
    <t>10x5x2ML</t>
  </si>
  <si>
    <t>Amp</t>
  </si>
  <si>
    <t>MYLABION-PLUS INJ</t>
  </si>
  <si>
    <t>NECADEC-50 INJ</t>
  </si>
  <si>
    <t>1 ML</t>
  </si>
  <si>
    <t>GC230002</t>
  </si>
  <si>
    <t>NIMUVENT-P TAB (BILAYER)</t>
  </si>
  <si>
    <t>GD330001</t>
  </si>
  <si>
    <t>NIMUVENT-P TAB (GOLD)</t>
  </si>
  <si>
    <t>NIMUVENT-P TAB (GOLD) PLASTIC BOX</t>
  </si>
  <si>
    <t>30x2x10</t>
  </si>
  <si>
    <t>NODIGYL 400 TAB</t>
  </si>
  <si>
    <t>IG480001</t>
  </si>
  <si>
    <t>OFTIROL OH TAB (20X10)</t>
  </si>
  <si>
    <t>GC980003</t>
  </si>
  <si>
    <t>OFTIROL-200 TAB (YELLOW PVC )</t>
  </si>
  <si>
    <t>G1390003</t>
  </si>
  <si>
    <t>OFTIROL-200 TAB A/A</t>
  </si>
  <si>
    <t>GG970004</t>
  </si>
  <si>
    <t>OFTIROL-OZ TAB  20X10</t>
  </si>
  <si>
    <t>G5730008</t>
  </si>
  <si>
    <t>OMIUP CAPS (20x20)</t>
  </si>
  <si>
    <t>20X20</t>
  </si>
  <si>
    <t>G6250005</t>
  </si>
  <si>
    <t>OMIUP-D CAP (20x20)</t>
  </si>
  <si>
    <t>ONDILIUM INJ. 2ML</t>
  </si>
  <si>
    <t>PANTORAZ-40 TAB</t>
  </si>
  <si>
    <t>PANTORAZ-D TAB</t>
  </si>
  <si>
    <t xml:space="preserve">20x15 </t>
  </si>
  <si>
    <t>G4040013</t>
  </si>
  <si>
    <t>PANTORAZ-DSR CAP</t>
  </si>
  <si>
    <t>J5010001</t>
  </si>
  <si>
    <t>PANTOVENT INJ</t>
  </si>
  <si>
    <t>B5000005</t>
  </si>
  <si>
    <t>PIPTAVENT-4.5 INJ</t>
  </si>
  <si>
    <t>G4170003</t>
  </si>
  <si>
    <t>RABIUP-DSR CAPS</t>
  </si>
  <si>
    <t>RANILIUM INJ</t>
  </si>
  <si>
    <t>Ampoules</t>
  </si>
  <si>
    <t>RANILIUM O COMBI PACK</t>
  </si>
  <si>
    <t xml:space="preserve">2x2 ml </t>
  </si>
  <si>
    <t>G1740002</t>
  </si>
  <si>
    <t>RANILIUM-150 TAB (20X30)</t>
  </si>
  <si>
    <t xml:space="preserve">20x30 </t>
  </si>
  <si>
    <t xml:space="preserve">Al- strip </t>
  </si>
  <si>
    <t>GG240002</t>
  </si>
  <si>
    <t>RANILIUM-300 TAB (20X10)</t>
  </si>
  <si>
    <t>IA840017</t>
  </si>
  <si>
    <t>RIFAVENT 400 TAB (20X10)</t>
  </si>
  <si>
    <t>GC110001</t>
  </si>
  <si>
    <t>ROXIFIT-150 TAB</t>
  </si>
  <si>
    <t>J5030001</t>
  </si>
  <si>
    <t>RTRIT INJ 60MG</t>
  </si>
  <si>
    <t>5ml</t>
  </si>
  <si>
    <t>SPASMOVENT TAB</t>
  </si>
  <si>
    <t>C1190001</t>
  </si>
  <si>
    <t>SPORIVENT-125 TAB</t>
  </si>
  <si>
    <t>C3050006</t>
  </si>
  <si>
    <t>SPORIVENT-250 CAP</t>
  </si>
  <si>
    <t>C1200002</t>
  </si>
  <si>
    <t>SPORIVENT-250 TAB</t>
  </si>
  <si>
    <t>C3060012</t>
  </si>
  <si>
    <t>SPORIVENT-500 CAP</t>
  </si>
  <si>
    <t>TUSSTON DX SYRUP 100ML</t>
  </si>
  <si>
    <t>TUSSTON-L SUSPENSION</t>
  </si>
  <si>
    <t>100ML</t>
  </si>
  <si>
    <t>IA730001</t>
  </si>
  <si>
    <t>UTIQUIN-400 TAB</t>
  </si>
  <si>
    <t>IF040001</t>
  </si>
  <si>
    <t>UTIQUIN-HTZ TAB</t>
  </si>
  <si>
    <t>10x4x10</t>
  </si>
  <si>
    <t>I1870001</t>
  </si>
  <si>
    <t>UTIQUIN-TZ TAB</t>
  </si>
  <si>
    <t>10X4X10</t>
  </si>
  <si>
    <t>B4040001</t>
  </si>
  <si>
    <t>VENTIMOX CV 457 DRY SYRUP (WFI)</t>
  </si>
  <si>
    <t>B4000002</t>
  </si>
  <si>
    <t>VENTIMOX DRY SYP 125MG</t>
  </si>
  <si>
    <t>HDPE Bottle</t>
  </si>
  <si>
    <t>B4010001</t>
  </si>
  <si>
    <t>VENTIMOX DRY SYP 250MG</t>
  </si>
  <si>
    <t>VENTIMOX PLUS KID TAB</t>
  </si>
  <si>
    <t>B3020004</t>
  </si>
  <si>
    <t>VENTIMOX PLUS LB CAP (Blue/Grey)</t>
  </si>
  <si>
    <t>VENTIMOX-125 DT TAB</t>
  </si>
  <si>
    <t>B3000020</t>
  </si>
  <si>
    <t>VENTIMOX-250 (R/W) - (10x3x15)</t>
  </si>
  <si>
    <t>10x3x15</t>
  </si>
  <si>
    <t>B3000002</t>
  </si>
  <si>
    <t>VENTIMOX-250 CAP G/Y</t>
  </si>
  <si>
    <t>B3000001</t>
  </si>
  <si>
    <t>VENTIMOX-250 CAP R/W</t>
  </si>
  <si>
    <t>B0020001</t>
  </si>
  <si>
    <t>VENTIMOX-250 DT TAB</t>
  </si>
  <si>
    <t>AL -STRIP</t>
  </si>
  <si>
    <t>B3010021</t>
  </si>
  <si>
    <t>VENTIMOX-500 (Y/Y) - (10x2x15)</t>
  </si>
  <si>
    <t>B3010002</t>
  </si>
  <si>
    <t>VENTIMOX-500 CAP (O/O)</t>
  </si>
  <si>
    <t>B3010001</t>
  </si>
  <si>
    <t>VENTIMOX-500 CAP Y/Y</t>
  </si>
  <si>
    <t>B5010001</t>
  </si>
  <si>
    <t>VENTIMOX-CV 1.2GM INJ.</t>
  </si>
  <si>
    <t>B4030001</t>
  </si>
  <si>
    <t>VENTIMOX-CV 228.5 DRY SYRUP (WFI)</t>
  </si>
  <si>
    <t>B0070001</t>
  </si>
  <si>
    <t>VENTIMOX-CV 228.5 TAB 10X1X10</t>
  </si>
  <si>
    <t>B0030001</t>
  </si>
  <si>
    <t xml:space="preserve">VENTIMOX-CV 375 TAB </t>
  </si>
  <si>
    <t>B0060001</t>
  </si>
  <si>
    <t>VENTIMOX-CV 457 TAB 10X1X10</t>
  </si>
  <si>
    <t>B0040001</t>
  </si>
  <si>
    <t>VENTIMOX-CV 625 TAB (10X2X10)</t>
  </si>
  <si>
    <t>B0040014</t>
  </si>
  <si>
    <t>VENTIMOX-CV 625 TAB (20x6)</t>
  </si>
  <si>
    <t>B4020001</t>
  </si>
  <si>
    <t>VENTIMOX-CV DROP</t>
  </si>
  <si>
    <t>10 ml</t>
  </si>
  <si>
    <t>HDPE bottle with WFI</t>
  </si>
  <si>
    <t>B3020001</t>
  </si>
  <si>
    <t>VENTIMOX-PLUS LB CAP</t>
  </si>
  <si>
    <t>L1190001</t>
  </si>
  <si>
    <t>VENTOCOLD DM JUNIOR SYRUP 60ML</t>
  </si>
  <si>
    <t>L1180001</t>
  </si>
  <si>
    <t>VENTOCOLD DM SYP. 100ML</t>
  </si>
  <si>
    <t>G7380001</t>
  </si>
  <si>
    <t>VENTOCOLD RF TAB</t>
  </si>
  <si>
    <t>I2830001</t>
  </si>
  <si>
    <t>VENTOCOLD TAB</t>
  </si>
  <si>
    <t>VENTOCORT INJ.</t>
  </si>
  <si>
    <t>I7190001</t>
  </si>
  <si>
    <t>VENTOCORTIL-10 TAB</t>
  </si>
  <si>
    <t>10x5x10</t>
  </si>
  <si>
    <t>I7260001</t>
  </si>
  <si>
    <t>VENTOCORTIL-20 TAB</t>
  </si>
  <si>
    <t>I7180001</t>
  </si>
  <si>
    <t>VENTOCORTIL-5 TAB</t>
  </si>
  <si>
    <t>GA160027</t>
  </si>
  <si>
    <t>VENTOKAST-LC TAB (20X10)</t>
  </si>
  <si>
    <t>VENTOLYTE ORS (ORANGE)</t>
  </si>
  <si>
    <t xml:space="preserve">21.8 gm </t>
  </si>
  <si>
    <t>VENTORAN INJ</t>
  </si>
  <si>
    <t>GC650001</t>
  </si>
  <si>
    <t>VENTORAN-P TAB (BILAYER)</t>
  </si>
  <si>
    <t>30X10</t>
  </si>
  <si>
    <t>G8000003</t>
  </si>
  <si>
    <t>VENTORAN-P TAB CLEAR PVC (10X2X10)</t>
  </si>
  <si>
    <t>G1080001</t>
  </si>
  <si>
    <t>WORMIBAND PLUS TAB</t>
  </si>
  <si>
    <t>10x10x1</t>
  </si>
  <si>
    <t>I1010001</t>
  </si>
  <si>
    <t>WORMIBAND-400 TAB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</si>
</sst>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6" formatCode="_ &quot;₹&quot;\ * #,##0.00_ ;_ &quot;₹&quot;\ * \-#,##0.00_ ;_ &quot;₹&quot;\ * &quot;-&quot;??_ ;_ @_ 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.5"/>
      <name val="Calibri"/>
      <family val="2"/>
      <scheme val="minor"/>
    </font>
    <font>
      <sz val="9.5"/>
      <name val="Calibri"/>
      <family val="2"/>
      <scheme val="minor"/>
    </font>
    <font>
      <b/>
      <sz val="9.5"/>
      <color theme="1"/>
      <name val="Calibri"/>
      <family val="2"/>
      <scheme val="minor"/>
    </font>
    <font>
      <sz val="9.5"/>
      <color theme="1"/>
      <name val="Calibri"/>
      <family val="2"/>
      <scheme val="minor"/>
    </font>
    <font>
      <sz val="9.5"/>
      <color rgb="FFFF0000"/>
      <name val="Calibri"/>
      <family val="2"/>
      <scheme val="minor"/>
    </font>
    <font>
      <b/>
      <sz val="9.5"/>
      <color rgb="FFFF0000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2" fontId="4" fillId="0" borderId="1" xfId="1" applyNumberFormat="1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2" fontId="7" fillId="0" borderId="1" xfId="1" applyNumberFormat="1" applyFont="1" applyFill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44" fontId="8" fillId="2" borderId="1" xfId="0" applyNumberFormat="1" applyFont="1" applyFill="1" applyBorder="1" applyAlignment="1">
      <alignment horizontal="center" vertical="center" wrapText="1"/>
    </xf>
    <xf numFmtId="44" fontId="5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2" fontId="4" fillId="0" borderId="1" xfId="1" applyNumberFormat="1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2" fontId="7" fillId="0" borderId="1" xfId="1" applyNumberFormat="1" applyFont="1" applyFill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612"/>
  <sheetViews>
    <sheetView tabSelected="1" zoomScale="90" zoomScaleNormal="90" workbookViewId="0">
      <pane xSplit="2" ySplit="2" topLeftCell="C3" activePane="bottomRight" state="frozen"/>
      <selection pane="topRight" activeCell="D1" sqref="D1"/>
      <selection pane="bottomLeft" activeCell="A3" sqref="A3"/>
      <selection pane="bottomRight" activeCell="Q17" sqref="Q17"/>
    </sheetView>
  </sheetViews>
  <sheetFormatPr defaultColWidth="8.77734375" defaultRowHeight="14.4" x14ac:dyDescent="0.3"/>
  <cols>
    <col min="1" max="1" width="8.6640625" customWidth="1"/>
    <col min="2" max="2" width="26.21875" customWidth="1"/>
    <col min="3" max="3" width="9.44140625" customWidth="1"/>
    <col min="4" max="4" width="9.77734375" customWidth="1"/>
    <col min="5" max="5" width="8.44140625" bestFit="1" customWidth="1"/>
    <col min="6" max="6" width="6.77734375" bestFit="1" customWidth="1"/>
    <col min="7" max="7" width="4.5546875" bestFit="1" customWidth="1"/>
    <col min="8" max="8" width="8" customWidth="1"/>
    <col min="9" max="9" width="9.77734375" bestFit="1" customWidth="1"/>
    <col min="10" max="10" width="15.88671875" customWidth="1"/>
    <col min="11" max="16384" width="8.77734375" style="1"/>
  </cols>
  <sheetData>
    <row r="1" spans="1:10" x14ac:dyDescent="0.3">
      <c r="A1" s="23" t="s">
        <v>1026</v>
      </c>
      <c r="B1" s="23"/>
      <c r="C1" s="23"/>
      <c r="D1" s="23"/>
      <c r="E1" s="23"/>
      <c r="F1" s="23"/>
      <c r="G1" s="23"/>
      <c r="H1" s="23"/>
      <c r="I1" s="20" t="s">
        <v>1023</v>
      </c>
      <c r="J1" s="21">
        <f>SUBTOTAL(9,J3:J486)</f>
        <v>0</v>
      </c>
    </row>
    <row r="2" spans="1:10" ht="27.6" x14ac:dyDescent="0.3">
      <c r="A2" s="2" t="s">
        <v>0</v>
      </c>
      <c r="B2" s="3" t="s">
        <v>1</v>
      </c>
      <c r="C2" s="2" t="s">
        <v>2</v>
      </c>
      <c r="D2" s="2" t="s">
        <v>3</v>
      </c>
      <c r="E2" s="2" t="s">
        <v>958</v>
      </c>
      <c r="F2" s="4" t="s">
        <v>4</v>
      </c>
      <c r="G2" s="2" t="s">
        <v>5</v>
      </c>
      <c r="H2" s="2" t="s">
        <v>959</v>
      </c>
      <c r="I2" s="20" t="s">
        <v>1024</v>
      </c>
      <c r="J2" s="20" t="s">
        <v>1025</v>
      </c>
    </row>
    <row r="3" spans="1:10" x14ac:dyDescent="0.3">
      <c r="A3" s="5" t="s">
        <v>1027</v>
      </c>
      <c r="B3" s="6" t="s">
        <v>1028</v>
      </c>
      <c r="C3" s="30" t="s">
        <v>1029</v>
      </c>
      <c r="D3" s="32" t="s">
        <v>6</v>
      </c>
      <c r="E3" s="8">
        <v>32</v>
      </c>
      <c r="F3" s="9">
        <v>75.28</v>
      </c>
      <c r="G3" s="30">
        <v>2400</v>
      </c>
      <c r="H3" s="30" t="s">
        <v>1030</v>
      </c>
      <c r="I3" s="30"/>
      <c r="J3" s="39">
        <v>0</v>
      </c>
    </row>
    <row r="4" spans="1:10" x14ac:dyDescent="0.3">
      <c r="A4" s="5" t="s">
        <v>1031</v>
      </c>
      <c r="B4" s="6" t="s">
        <v>1032</v>
      </c>
      <c r="C4" s="30" t="s">
        <v>1033</v>
      </c>
      <c r="D4" s="32" t="s">
        <v>6</v>
      </c>
      <c r="E4" s="8">
        <v>32</v>
      </c>
      <c r="F4" s="9">
        <v>76</v>
      </c>
      <c r="G4" s="30">
        <v>3600</v>
      </c>
      <c r="H4" s="30" t="s">
        <v>1030</v>
      </c>
      <c r="I4" s="30"/>
      <c r="J4" s="39">
        <v>0</v>
      </c>
    </row>
    <row r="5" spans="1:10" x14ac:dyDescent="0.3">
      <c r="A5" s="5" t="s">
        <v>1034</v>
      </c>
      <c r="B5" s="6" t="s">
        <v>1035</v>
      </c>
      <c r="C5" s="30" t="s">
        <v>1036</v>
      </c>
      <c r="D5" s="32" t="s">
        <v>6</v>
      </c>
      <c r="E5" s="8">
        <v>53</v>
      </c>
      <c r="F5" s="9">
        <v>126.73</v>
      </c>
      <c r="G5" s="30">
        <v>800</v>
      </c>
      <c r="H5" s="30" t="s">
        <v>1030</v>
      </c>
      <c r="I5" s="30"/>
      <c r="J5" s="39">
        <v>0</v>
      </c>
    </row>
    <row r="6" spans="1:10" x14ac:dyDescent="0.3">
      <c r="A6" s="5" t="s">
        <v>7</v>
      </c>
      <c r="B6" s="6" t="s">
        <v>8</v>
      </c>
      <c r="C6" s="7" t="s">
        <v>9</v>
      </c>
      <c r="D6" s="7" t="s">
        <v>10</v>
      </c>
      <c r="E6" s="8">
        <v>46</v>
      </c>
      <c r="F6" s="9">
        <v>146.88999999999999</v>
      </c>
      <c r="G6" s="10">
        <v>600</v>
      </c>
      <c r="H6" s="9" t="s">
        <v>1017</v>
      </c>
      <c r="I6" s="9"/>
      <c r="J6" s="22">
        <f>I6*E6</f>
        <v>0</v>
      </c>
    </row>
    <row r="7" spans="1:10" x14ac:dyDescent="0.3">
      <c r="A7" s="5" t="s">
        <v>11</v>
      </c>
      <c r="B7" s="6" t="s">
        <v>12</v>
      </c>
      <c r="C7" s="7" t="s">
        <v>9</v>
      </c>
      <c r="D7" s="7" t="s">
        <v>10</v>
      </c>
      <c r="E7" s="8">
        <v>75</v>
      </c>
      <c r="F7" s="9">
        <v>404.98</v>
      </c>
      <c r="G7" s="10">
        <v>600</v>
      </c>
      <c r="H7" s="9" t="s">
        <v>1017</v>
      </c>
      <c r="I7" s="9"/>
      <c r="J7" s="22">
        <f>I7*E7</f>
        <v>0</v>
      </c>
    </row>
    <row r="8" spans="1:10" x14ac:dyDescent="0.3">
      <c r="A8" s="5" t="s">
        <v>13</v>
      </c>
      <c r="B8" s="6" t="s">
        <v>14</v>
      </c>
      <c r="C8" s="7" t="s">
        <v>15</v>
      </c>
      <c r="D8" s="7" t="s">
        <v>16</v>
      </c>
      <c r="E8" s="8">
        <v>31.5</v>
      </c>
      <c r="F8" s="9">
        <v>150</v>
      </c>
      <c r="G8" s="10">
        <v>600</v>
      </c>
      <c r="H8" s="9" t="s">
        <v>1017</v>
      </c>
      <c r="I8" s="9"/>
      <c r="J8" s="22">
        <f>I8*E8</f>
        <v>0</v>
      </c>
    </row>
    <row r="9" spans="1:10" x14ac:dyDescent="0.3">
      <c r="A9" s="5" t="s">
        <v>17</v>
      </c>
      <c r="B9" s="6" t="s">
        <v>18</v>
      </c>
      <c r="C9" s="7" t="s">
        <v>19</v>
      </c>
      <c r="D9" s="7" t="s">
        <v>6</v>
      </c>
      <c r="E9" s="8">
        <v>19.5</v>
      </c>
      <c r="F9" s="9">
        <v>88.48</v>
      </c>
      <c r="G9" s="10">
        <v>600</v>
      </c>
      <c r="H9" s="9" t="s">
        <v>1017</v>
      </c>
      <c r="I9" s="9"/>
      <c r="J9" s="22">
        <f>I9*E9</f>
        <v>0</v>
      </c>
    </row>
    <row r="10" spans="1:10" x14ac:dyDescent="0.3">
      <c r="A10" s="5">
        <v>1001058</v>
      </c>
      <c r="B10" s="6" t="s">
        <v>20</v>
      </c>
      <c r="C10" s="7" t="s">
        <v>21</v>
      </c>
      <c r="D10" s="7" t="s">
        <v>6</v>
      </c>
      <c r="E10" s="8">
        <v>32</v>
      </c>
      <c r="F10" s="9">
        <v>235.12</v>
      </c>
      <c r="G10" s="10">
        <v>600</v>
      </c>
      <c r="H10" s="9" t="s">
        <v>1017</v>
      </c>
      <c r="I10" s="9"/>
      <c r="J10" s="22">
        <f>I10*E10</f>
        <v>0</v>
      </c>
    </row>
    <row r="11" spans="1:10" x14ac:dyDescent="0.3">
      <c r="A11" s="5" t="s">
        <v>22</v>
      </c>
      <c r="B11" s="6" t="s">
        <v>23</v>
      </c>
      <c r="C11" s="7" t="s">
        <v>24</v>
      </c>
      <c r="D11" s="7" t="s">
        <v>25</v>
      </c>
      <c r="E11" s="8">
        <v>8.5</v>
      </c>
      <c r="F11" s="9">
        <v>51.76</v>
      </c>
      <c r="G11" s="10">
        <v>1400</v>
      </c>
      <c r="H11" s="9" t="s">
        <v>1017</v>
      </c>
      <c r="I11" s="9"/>
      <c r="J11" s="22">
        <f>I11*E11</f>
        <v>0</v>
      </c>
    </row>
    <row r="12" spans="1:10" x14ac:dyDescent="0.3">
      <c r="A12" s="5" t="s">
        <v>26</v>
      </c>
      <c r="B12" s="6" t="s">
        <v>27</v>
      </c>
      <c r="C12" s="7" t="s">
        <v>28</v>
      </c>
      <c r="D12" s="7" t="s">
        <v>6</v>
      </c>
      <c r="E12" s="8">
        <v>20</v>
      </c>
      <c r="F12" s="9">
        <v>107.3</v>
      </c>
      <c r="G12" s="10">
        <v>600</v>
      </c>
      <c r="H12" s="9" t="s">
        <v>1017</v>
      </c>
      <c r="I12" s="9"/>
      <c r="J12" s="22">
        <f>I12*E12</f>
        <v>0</v>
      </c>
    </row>
    <row r="13" spans="1:10" x14ac:dyDescent="0.3">
      <c r="A13" s="5" t="s">
        <v>29</v>
      </c>
      <c r="B13" s="6" t="s">
        <v>30</v>
      </c>
      <c r="C13" s="7" t="s">
        <v>24</v>
      </c>
      <c r="D13" s="7" t="s">
        <v>10</v>
      </c>
      <c r="E13" s="8">
        <v>9</v>
      </c>
      <c r="F13" s="9">
        <v>106.05</v>
      </c>
      <c r="G13" s="10">
        <v>1620</v>
      </c>
      <c r="H13" s="9" t="s">
        <v>1017</v>
      </c>
      <c r="I13" s="9"/>
      <c r="J13" s="22">
        <f>I13*E13</f>
        <v>0</v>
      </c>
    </row>
    <row r="14" spans="1:10" x14ac:dyDescent="0.3">
      <c r="A14" s="24" t="s">
        <v>31</v>
      </c>
      <c r="B14" s="25" t="s">
        <v>32</v>
      </c>
      <c r="C14" s="26" t="s">
        <v>9</v>
      </c>
      <c r="D14" s="26" t="s">
        <v>10</v>
      </c>
      <c r="E14" s="27">
        <v>7</v>
      </c>
      <c r="F14" s="28">
        <v>48.77</v>
      </c>
      <c r="G14" s="29">
        <v>1620</v>
      </c>
      <c r="H14" s="28" t="s">
        <v>1017</v>
      </c>
      <c r="I14" s="28"/>
      <c r="J14" s="22">
        <f>I14*E14</f>
        <v>0</v>
      </c>
    </row>
    <row r="15" spans="1:10" x14ac:dyDescent="0.3">
      <c r="A15" s="5">
        <v>1000868</v>
      </c>
      <c r="B15" s="6" t="s">
        <v>33</v>
      </c>
      <c r="C15" s="7" t="s">
        <v>34</v>
      </c>
      <c r="D15" s="7" t="s">
        <v>35</v>
      </c>
      <c r="E15" s="8">
        <v>26</v>
      </c>
      <c r="F15" s="9">
        <v>118.53</v>
      </c>
      <c r="G15" s="10">
        <v>400</v>
      </c>
      <c r="H15" s="9" t="s">
        <v>1017</v>
      </c>
      <c r="I15" s="9"/>
      <c r="J15" s="22">
        <f>I15*E15</f>
        <v>0</v>
      </c>
    </row>
    <row r="16" spans="1:10" x14ac:dyDescent="0.3">
      <c r="A16" s="24" t="s">
        <v>36</v>
      </c>
      <c r="B16" s="25" t="s">
        <v>37</v>
      </c>
      <c r="C16" s="26" t="s">
        <v>38</v>
      </c>
      <c r="D16" s="26" t="s">
        <v>25</v>
      </c>
      <c r="E16" s="27">
        <v>7</v>
      </c>
      <c r="F16" s="28">
        <v>67.37</v>
      </c>
      <c r="G16" s="29">
        <v>1600</v>
      </c>
      <c r="H16" s="28" t="s">
        <v>1017</v>
      </c>
      <c r="I16" s="28"/>
      <c r="J16" s="22">
        <f>I16*E16</f>
        <v>0</v>
      </c>
    </row>
    <row r="17" spans="1:10" x14ac:dyDescent="0.3">
      <c r="A17" s="35" t="s">
        <v>971</v>
      </c>
      <c r="B17" s="34" t="s">
        <v>972</v>
      </c>
      <c r="C17" s="35" t="s">
        <v>973</v>
      </c>
      <c r="D17" s="36" t="s">
        <v>6</v>
      </c>
      <c r="E17" s="37">
        <v>6.6462500000000002</v>
      </c>
      <c r="F17" s="38">
        <v>37.331249999999997</v>
      </c>
      <c r="G17" s="35">
        <v>640</v>
      </c>
      <c r="H17" s="35" t="s">
        <v>1017</v>
      </c>
      <c r="I17" s="35"/>
      <c r="J17" s="22">
        <f>I17*E17</f>
        <v>0</v>
      </c>
    </row>
    <row r="18" spans="1:10" ht="37.799999999999997" x14ac:dyDescent="0.3">
      <c r="A18" s="5" t="s">
        <v>39</v>
      </c>
      <c r="B18" s="6" t="s">
        <v>40</v>
      </c>
      <c r="C18" s="7" t="s">
        <v>41</v>
      </c>
      <c r="D18" s="7" t="s">
        <v>42</v>
      </c>
      <c r="E18" s="8">
        <v>40</v>
      </c>
      <c r="F18" s="9">
        <v>131.58000000000001</v>
      </c>
      <c r="G18" s="10">
        <v>60</v>
      </c>
      <c r="H18" s="9" t="s">
        <v>1017</v>
      </c>
      <c r="I18" s="9"/>
      <c r="J18" s="22">
        <f>I18*E18</f>
        <v>0</v>
      </c>
    </row>
    <row r="19" spans="1:10" ht="37.799999999999997" x14ac:dyDescent="0.3">
      <c r="A19" s="35">
        <v>1001090</v>
      </c>
      <c r="B19" s="34" t="s">
        <v>974</v>
      </c>
      <c r="C19" s="35" t="s">
        <v>968</v>
      </c>
      <c r="D19" s="36" t="s">
        <v>975</v>
      </c>
      <c r="E19" s="37">
        <v>18.75</v>
      </c>
      <c r="F19" s="38">
        <v>84.56</v>
      </c>
      <c r="G19" s="35">
        <v>300</v>
      </c>
      <c r="H19" s="35" t="s">
        <v>1017</v>
      </c>
      <c r="I19" s="35"/>
      <c r="J19" s="22">
        <f>I19*E19</f>
        <v>0</v>
      </c>
    </row>
    <row r="20" spans="1:10" ht="37.799999999999997" x14ac:dyDescent="0.3">
      <c r="A20" s="24">
        <v>1000251</v>
      </c>
      <c r="B20" s="25" t="s">
        <v>43</v>
      </c>
      <c r="C20" s="26" t="s">
        <v>41</v>
      </c>
      <c r="D20" s="26" t="s">
        <v>42</v>
      </c>
      <c r="E20" s="8">
        <v>41</v>
      </c>
      <c r="F20" s="9">
        <v>149.53</v>
      </c>
      <c r="G20" s="29">
        <v>48</v>
      </c>
      <c r="H20" s="9" t="s">
        <v>1017</v>
      </c>
      <c r="I20" s="9"/>
      <c r="J20" s="22">
        <f>I20*E20</f>
        <v>0</v>
      </c>
    </row>
    <row r="21" spans="1:10" x14ac:dyDescent="0.3">
      <c r="A21" s="24">
        <v>1000674</v>
      </c>
      <c r="B21" s="25" t="s">
        <v>44</v>
      </c>
      <c r="C21" s="26" t="s">
        <v>45</v>
      </c>
      <c r="D21" s="26" t="s">
        <v>46</v>
      </c>
      <c r="E21" s="8">
        <v>76</v>
      </c>
      <c r="F21" s="9">
        <v>204</v>
      </c>
      <c r="G21" s="29">
        <v>120</v>
      </c>
      <c r="H21" s="9" t="s">
        <v>1017</v>
      </c>
      <c r="I21" s="9"/>
      <c r="J21" s="22">
        <f>I21*E21</f>
        <v>0</v>
      </c>
    </row>
    <row r="22" spans="1:10" x14ac:dyDescent="0.3">
      <c r="A22" s="24">
        <v>1001536</v>
      </c>
      <c r="B22" s="25" t="s">
        <v>1037</v>
      </c>
      <c r="C22" s="11" t="s">
        <v>21</v>
      </c>
      <c r="D22" s="13" t="s">
        <v>672</v>
      </c>
      <c r="E22" s="8">
        <v>66</v>
      </c>
      <c r="F22" s="9">
        <v>350.62</v>
      </c>
      <c r="G22" s="11">
        <v>600</v>
      </c>
      <c r="H22" s="30" t="s">
        <v>1030</v>
      </c>
      <c r="I22" s="30"/>
      <c r="J22" s="39">
        <v>0</v>
      </c>
    </row>
    <row r="23" spans="1:10" x14ac:dyDescent="0.3">
      <c r="A23" s="24">
        <v>1001537</v>
      </c>
      <c r="B23" s="25" t="s">
        <v>1038</v>
      </c>
      <c r="C23" s="11" t="s">
        <v>21</v>
      </c>
      <c r="D23" s="13" t="s">
        <v>672</v>
      </c>
      <c r="E23" s="8">
        <v>100</v>
      </c>
      <c r="F23" s="9">
        <v>549.46</v>
      </c>
      <c r="G23" s="11">
        <v>540</v>
      </c>
      <c r="H23" s="30" t="s">
        <v>1030</v>
      </c>
      <c r="I23" s="30"/>
      <c r="J23" s="39">
        <v>0</v>
      </c>
    </row>
    <row r="24" spans="1:10" x14ac:dyDescent="0.3">
      <c r="A24" s="24">
        <v>1000955</v>
      </c>
      <c r="B24" s="25" t="s">
        <v>47</v>
      </c>
      <c r="C24" s="26" t="s">
        <v>28</v>
      </c>
      <c r="D24" s="26" t="s">
        <v>6</v>
      </c>
      <c r="E24" s="8">
        <v>13</v>
      </c>
      <c r="F24" s="9">
        <v>67</v>
      </c>
      <c r="G24" s="29">
        <v>790</v>
      </c>
      <c r="H24" s="9" t="s">
        <v>1017</v>
      </c>
      <c r="I24" s="9"/>
      <c r="J24" s="22">
        <f>I24*E24</f>
        <v>0</v>
      </c>
    </row>
    <row r="25" spans="1:10" ht="25.2" x14ac:dyDescent="0.3">
      <c r="A25" s="11" t="s">
        <v>48</v>
      </c>
      <c r="B25" s="12" t="s">
        <v>49</v>
      </c>
      <c r="C25" s="11" t="s">
        <v>50</v>
      </c>
      <c r="D25" s="13" t="s">
        <v>51</v>
      </c>
      <c r="E25" s="8">
        <v>29.5</v>
      </c>
      <c r="F25" s="9">
        <v>77.17</v>
      </c>
      <c r="G25" s="11">
        <v>200</v>
      </c>
      <c r="H25" s="9" t="s">
        <v>1017</v>
      </c>
      <c r="I25" s="9"/>
      <c r="J25" s="22">
        <f>I25*E25</f>
        <v>0</v>
      </c>
    </row>
    <row r="26" spans="1:10" x14ac:dyDescent="0.3">
      <c r="A26" s="30">
        <v>1000442</v>
      </c>
      <c r="B26" s="31" t="s">
        <v>52</v>
      </c>
      <c r="C26" s="30" t="s">
        <v>53</v>
      </c>
      <c r="D26" s="32" t="s">
        <v>10</v>
      </c>
      <c r="E26" s="8">
        <v>24</v>
      </c>
      <c r="F26" s="9">
        <v>118.97</v>
      </c>
      <c r="G26" s="30">
        <v>2000</v>
      </c>
      <c r="H26" s="9" t="s">
        <v>1017</v>
      </c>
      <c r="I26" s="9"/>
      <c r="J26" s="22">
        <f>I26*E26</f>
        <v>0</v>
      </c>
    </row>
    <row r="27" spans="1:10" x14ac:dyDescent="0.3">
      <c r="A27" s="5">
        <v>1000411</v>
      </c>
      <c r="B27" s="6" t="s">
        <v>1039</v>
      </c>
      <c r="C27" s="30" t="s">
        <v>53</v>
      </c>
      <c r="D27" s="32" t="s">
        <v>10</v>
      </c>
      <c r="E27" s="8">
        <v>32</v>
      </c>
      <c r="F27" s="9">
        <v>105.1</v>
      </c>
      <c r="G27" s="30">
        <v>1000</v>
      </c>
      <c r="H27" s="30" t="s">
        <v>1030</v>
      </c>
      <c r="I27" s="30"/>
      <c r="J27" s="39">
        <v>0</v>
      </c>
    </row>
    <row r="28" spans="1:10" ht="25.2" x14ac:dyDescent="0.3">
      <c r="A28" s="30" t="s">
        <v>54</v>
      </c>
      <c r="B28" s="31" t="s">
        <v>55</v>
      </c>
      <c r="C28" s="30" t="s">
        <v>50</v>
      </c>
      <c r="D28" s="32" t="s">
        <v>51</v>
      </c>
      <c r="E28" s="8">
        <v>21.5</v>
      </c>
      <c r="F28" s="9">
        <v>52.6</v>
      </c>
      <c r="G28" s="30">
        <v>200</v>
      </c>
      <c r="H28" s="9" t="s">
        <v>1017</v>
      </c>
      <c r="I28" s="9"/>
      <c r="J28" s="22">
        <f>I28*E28</f>
        <v>0</v>
      </c>
    </row>
    <row r="29" spans="1:10" x14ac:dyDescent="0.3">
      <c r="A29" s="30" t="s">
        <v>57</v>
      </c>
      <c r="B29" s="31" t="s">
        <v>58</v>
      </c>
      <c r="C29" s="30" t="s">
        <v>59</v>
      </c>
      <c r="D29" s="32" t="s">
        <v>25</v>
      </c>
      <c r="E29" s="8">
        <v>60</v>
      </c>
      <c r="F29" s="9">
        <v>224.6</v>
      </c>
      <c r="G29" s="30">
        <v>360</v>
      </c>
      <c r="H29" s="9" t="s">
        <v>1017</v>
      </c>
      <c r="I29" s="9"/>
      <c r="J29" s="22">
        <f>I29*E29</f>
        <v>0</v>
      </c>
    </row>
    <row r="30" spans="1:10" ht="25.2" x14ac:dyDescent="0.3">
      <c r="A30" s="30">
        <v>1000354</v>
      </c>
      <c r="B30" s="31" t="s">
        <v>60</v>
      </c>
      <c r="C30" s="30" t="s">
        <v>61</v>
      </c>
      <c r="D30" s="32" t="s">
        <v>62</v>
      </c>
      <c r="E30" s="8">
        <v>18.5</v>
      </c>
      <c r="F30" s="9">
        <v>80.48</v>
      </c>
      <c r="G30" s="30">
        <v>300</v>
      </c>
      <c r="H30" s="9" t="s">
        <v>1017</v>
      </c>
      <c r="I30" s="9"/>
      <c r="J30" s="22">
        <f>I30*E30</f>
        <v>0</v>
      </c>
    </row>
    <row r="31" spans="1:10" ht="25.2" x14ac:dyDescent="0.3">
      <c r="A31" s="30" t="s">
        <v>63</v>
      </c>
      <c r="B31" s="31" t="s">
        <v>64</v>
      </c>
      <c r="C31" s="30" t="s">
        <v>50</v>
      </c>
      <c r="D31" s="32" t="s">
        <v>51</v>
      </c>
      <c r="E31" s="8">
        <v>28.5</v>
      </c>
      <c r="F31" s="9">
        <v>96.42</v>
      </c>
      <c r="G31" s="30">
        <v>200</v>
      </c>
      <c r="H31" s="9" t="s">
        <v>1017</v>
      </c>
      <c r="I31" s="9"/>
      <c r="J31" s="22">
        <f>I31*E31</f>
        <v>0</v>
      </c>
    </row>
    <row r="32" spans="1:10" x14ac:dyDescent="0.3">
      <c r="A32" s="5" t="s">
        <v>1040</v>
      </c>
      <c r="B32" s="6" t="s">
        <v>1041</v>
      </c>
      <c r="C32" s="7" t="s">
        <v>53</v>
      </c>
      <c r="D32" s="7" t="s">
        <v>10</v>
      </c>
      <c r="E32" s="8">
        <v>45</v>
      </c>
      <c r="F32" s="9">
        <v>204.18</v>
      </c>
      <c r="G32" s="29">
        <v>1440</v>
      </c>
      <c r="H32" s="30" t="s">
        <v>1030</v>
      </c>
      <c r="I32" s="30"/>
      <c r="J32" s="39">
        <v>0</v>
      </c>
    </row>
    <row r="33" spans="1:10" x14ac:dyDescent="0.3">
      <c r="A33" s="30">
        <v>1000300</v>
      </c>
      <c r="B33" s="31" t="s">
        <v>1042</v>
      </c>
      <c r="C33" s="30" t="s">
        <v>21</v>
      </c>
      <c r="D33" s="32" t="s">
        <v>10</v>
      </c>
      <c r="E33" s="8">
        <v>95</v>
      </c>
      <c r="F33" s="9">
        <v>237</v>
      </c>
      <c r="G33" s="30">
        <v>160</v>
      </c>
      <c r="H33" s="30" t="s">
        <v>1030</v>
      </c>
      <c r="I33" s="30"/>
      <c r="J33" s="39">
        <v>0</v>
      </c>
    </row>
    <row r="34" spans="1:10" x14ac:dyDescent="0.3">
      <c r="A34" s="5" t="s">
        <v>1043</v>
      </c>
      <c r="B34" s="6" t="s">
        <v>1044</v>
      </c>
      <c r="C34" s="30" t="s">
        <v>65</v>
      </c>
      <c r="D34" s="32" t="s">
        <v>1045</v>
      </c>
      <c r="E34" s="8">
        <v>34</v>
      </c>
      <c r="F34" s="9">
        <v>431</v>
      </c>
      <c r="G34" s="30">
        <v>240</v>
      </c>
      <c r="H34" s="30" t="s">
        <v>1030</v>
      </c>
      <c r="I34" s="30"/>
      <c r="J34" s="39">
        <v>0</v>
      </c>
    </row>
    <row r="35" spans="1:10" x14ac:dyDescent="0.3">
      <c r="A35" s="5" t="s">
        <v>1046</v>
      </c>
      <c r="B35" s="6" t="s">
        <v>1047</v>
      </c>
      <c r="C35" s="30" t="s">
        <v>53</v>
      </c>
      <c r="D35" s="32" t="s">
        <v>6</v>
      </c>
      <c r="E35" s="8">
        <v>9.5</v>
      </c>
      <c r="F35" s="9">
        <v>23.62</v>
      </c>
      <c r="G35" s="30">
        <v>2400</v>
      </c>
      <c r="H35" s="30" t="s">
        <v>1030</v>
      </c>
      <c r="I35" s="30"/>
      <c r="J35" s="39">
        <v>0</v>
      </c>
    </row>
    <row r="36" spans="1:10" x14ac:dyDescent="0.3">
      <c r="A36" s="5" t="s">
        <v>1048</v>
      </c>
      <c r="B36" s="6" t="s">
        <v>1049</v>
      </c>
      <c r="C36" s="11" t="s">
        <v>53</v>
      </c>
      <c r="D36" s="13" t="s">
        <v>6</v>
      </c>
      <c r="E36" s="8">
        <v>17</v>
      </c>
      <c r="F36" s="9">
        <v>45.67</v>
      </c>
      <c r="G36" s="11">
        <v>960</v>
      </c>
      <c r="H36" s="30" t="s">
        <v>1030</v>
      </c>
      <c r="I36" s="30"/>
      <c r="J36" s="39">
        <v>0</v>
      </c>
    </row>
    <row r="37" spans="1:10" x14ac:dyDescent="0.3">
      <c r="A37" s="5">
        <v>1001216</v>
      </c>
      <c r="B37" s="6" t="s">
        <v>1050</v>
      </c>
      <c r="C37" s="30" t="s">
        <v>1051</v>
      </c>
      <c r="D37" s="32" t="s">
        <v>1052</v>
      </c>
      <c r="E37" s="8">
        <v>8</v>
      </c>
      <c r="F37" s="9">
        <v>30.93</v>
      </c>
      <c r="G37" s="30">
        <v>1440</v>
      </c>
      <c r="H37" s="30" t="s">
        <v>1030</v>
      </c>
      <c r="I37" s="30"/>
      <c r="J37" s="39">
        <v>0</v>
      </c>
    </row>
    <row r="38" spans="1:10" x14ac:dyDescent="0.3">
      <c r="A38" s="5">
        <v>1000086</v>
      </c>
      <c r="B38" s="6" t="s">
        <v>66</v>
      </c>
      <c r="C38" s="7" t="s">
        <v>67</v>
      </c>
      <c r="D38" s="7" t="s">
        <v>6</v>
      </c>
      <c r="E38" s="8">
        <v>42</v>
      </c>
      <c r="F38" s="9">
        <v>226</v>
      </c>
      <c r="G38" s="10">
        <v>450</v>
      </c>
      <c r="H38" s="9" t="s">
        <v>1017</v>
      </c>
      <c r="I38" s="9"/>
      <c r="J38" s="22">
        <f>I38*E38</f>
        <v>0</v>
      </c>
    </row>
    <row r="39" spans="1:10" ht="37.799999999999997" x14ac:dyDescent="0.3">
      <c r="A39" s="24">
        <v>1000070</v>
      </c>
      <c r="B39" s="25" t="s">
        <v>68</v>
      </c>
      <c r="C39" s="26" t="s">
        <v>41</v>
      </c>
      <c r="D39" s="26" t="s">
        <v>42</v>
      </c>
      <c r="E39" s="8">
        <v>35</v>
      </c>
      <c r="F39" s="9">
        <v>149.49</v>
      </c>
      <c r="G39" s="29">
        <v>60</v>
      </c>
      <c r="H39" s="9" t="s">
        <v>1017</v>
      </c>
      <c r="I39" s="9"/>
      <c r="J39" s="22">
        <f>I39*E39</f>
        <v>0</v>
      </c>
    </row>
    <row r="40" spans="1:10" ht="37.799999999999997" x14ac:dyDescent="0.3">
      <c r="A40" s="5" t="s">
        <v>69</v>
      </c>
      <c r="B40" s="6" t="s">
        <v>70</v>
      </c>
      <c r="C40" s="7" t="s">
        <v>71</v>
      </c>
      <c r="D40" s="7" t="s">
        <v>42</v>
      </c>
      <c r="E40" s="8">
        <v>22.5</v>
      </c>
      <c r="F40" s="9">
        <v>77.34</v>
      </c>
      <c r="G40" s="29">
        <v>128</v>
      </c>
      <c r="H40" s="9" t="s">
        <v>1017</v>
      </c>
      <c r="I40" s="9"/>
      <c r="J40" s="22">
        <f>I40*E40</f>
        <v>0</v>
      </c>
    </row>
    <row r="41" spans="1:10" x14ac:dyDescent="0.3">
      <c r="A41" s="5" t="s">
        <v>72</v>
      </c>
      <c r="B41" s="6" t="s">
        <v>73</v>
      </c>
      <c r="C41" s="7" t="s">
        <v>56</v>
      </c>
      <c r="D41" s="7" t="s">
        <v>10</v>
      </c>
      <c r="E41" s="8">
        <v>30</v>
      </c>
      <c r="F41" s="9">
        <v>123.75</v>
      </c>
      <c r="G41" s="29">
        <v>360</v>
      </c>
      <c r="H41" s="9" t="s">
        <v>1017</v>
      </c>
      <c r="I41" s="9"/>
      <c r="J41" s="22">
        <f>I41*E41</f>
        <v>0</v>
      </c>
    </row>
    <row r="42" spans="1:10" x14ac:dyDescent="0.3">
      <c r="A42" s="5" t="s">
        <v>74</v>
      </c>
      <c r="B42" s="6" t="s">
        <v>75</v>
      </c>
      <c r="C42" s="7" t="s">
        <v>19</v>
      </c>
      <c r="D42" s="7" t="s">
        <v>76</v>
      </c>
      <c r="E42" s="8">
        <v>15</v>
      </c>
      <c r="F42" s="9">
        <v>62.9</v>
      </c>
      <c r="G42" s="10">
        <v>600</v>
      </c>
      <c r="H42" s="9" t="s">
        <v>1017</v>
      </c>
      <c r="I42" s="9"/>
      <c r="J42" s="22">
        <f>I42*E42</f>
        <v>0</v>
      </c>
    </row>
    <row r="43" spans="1:10" x14ac:dyDescent="0.3">
      <c r="A43" s="5">
        <v>1000429</v>
      </c>
      <c r="B43" s="6" t="s">
        <v>77</v>
      </c>
      <c r="C43" s="7" t="s">
        <v>56</v>
      </c>
      <c r="D43" s="7" t="s">
        <v>10</v>
      </c>
      <c r="E43" s="8">
        <v>18.5</v>
      </c>
      <c r="F43" s="9">
        <v>153.13999999999999</v>
      </c>
      <c r="G43" s="10">
        <v>600</v>
      </c>
      <c r="H43" s="9" t="s">
        <v>1017</v>
      </c>
      <c r="I43" s="9"/>
      <c r="J43" s="22">
        <f>I43*E43</f>
        <v>0</v>
      </c>
    </row>
    <row r="44" spans="1:10" x14ac:dyDescent="0.3">
      <c r="A44" s="5" t="s">
        <v>965</v>
      </c>
      <c r="B44" s="6" t="s">
        <v>966</v>
      </c>
      <c r="C44" s="7" t="s">
        <v>56</v>
      </c>
      <c r="D44" s="7" t="s">
        <v>10</v>
      </c>
      <c r="E44" s="8">
        <v>28.5</v>
      </c>
      <c r="F44" s="9">
        <v>220</v>
      </c>
      <c r="G44" s="30">
        <v>600</v>
      </c>
      <c r="H44" s="9" t="s">
        <v>1017</v>
      </c>
      <c r="I44" s="9"/>
      <c r="J44" s="22">
        <f>I44*E44</f>
        <v>0</v>
      </c>
    </row>
    <row r="45" spans="1:10" ht="25.2" x14ac:dyDescent="0.3">
      <c r="A45" s="5">
        <v>1001441</v>
      </c>
      <c r="B45" s="6" t="s">
        <v>78</v>
      </c>
      <c r="C45" s="7" t="s">
        <v>79</v>
      </c>
      <c r="D45" s="7" t="s">
        <v>80</v>
      </c>
      <c r="E45" s="8">
        <v>34</v>
      </c>
      <c r="F45" s="9">
        <v>144.37</v>
      </c>
      <c r="G45" s="10">
        <v>120</v>
      </c>
      <c r="H45" s="9" t="s">
        <v>1017</v>
      </c>
      <c r="I45" s="9"/>
      <c r="J45" s="22">
        <f>I45*E45</f>
        <v>0</v>
      </c>
    </row>
    <row r="46" spans="1:10" x14ac:dyDescent="0.3">
      <c r="A46" s="5" t="s">
        <v>81</v>
      </c>
      <c r="B46" s="6" t="s">
        <v>82</v>
      </c>
      <c r="C46" s="7" t="s">
        <v>83</v>
      </c>
      <c r="D46" s="7" t="s">
        <v>84</v>
      </c>
      <c r="E46" s="8">
        <v>31</v>
      </c>
      <c r="F46" s="9">
        <v>199.65</v>
      </c>
      <c r="G46" s="10">
        <v>200</v>
      </c>
      <c r="H46" s="9" t="s">
        <v>1017</v>
      </c>
      <c r="I46" s="9"/>
      <c r="J46" s="22">
        <f>I46*E46</f>
        <v>0</v>
      </c>
    </row>
    <row r="47" spans="1:10" x14ac:dyDescent="0.3">
      <c r="A47" s="5">
        <v>1000563</v>
      </c>
      <c r="B47" s="6" t="s">
        <v>85</v>
      </c>
      <c r="C47" s="7" t="s">
        <v>56</v>
      </c>
      <c r="D47" s="7" t="s">
        <v>10</v>
      </c>
      <c r="E47" s="8">
        <v>31</v>
      </c>
      <c r="F47" s="9">
        <v>190.57</v>
      </c>
      <c r="G47" s="10">
        <v>600</v>
      </c>
      <c r="H47" s="9" t="s">
        <v>1017</v>
      </c>
      <c r="I47" s="9"/>
      <c r="J47" s="22">
        <f>I47*E47</f>
        <v>0</v>
      </c>
    </row>
    <row r="48" spans="1:10" x14ac:dyDescent="0.3">
      <c r="A48" s="5" t="s">
        <v>86</v>
      </c>
      <c r="B48" s="6" t="s">
        <v>87</v>
      </c>
      <c r="C48" s="30" t="s">
        <v>53</v>
      </c>
      <c r="D48" s="32" t="s">
        <v>6</v>
      </c>
      <c r="E48" s="8">
        <v>7.5</v>
      </c>
      <c r="F48" s="9">
        <v>59.81</v>
      </c>
      <c r="G48" s="30">
        <v>1440</v>
      </c>
      <c r="H48" s="9" t="s">
        <v>1017</v>
      </c>
      <c r="I48" s="9"/>
      <c r="J48" s="22">
        <f>I48*E48</f>
        <v>0</v>
      </c>
    </row>
    <row r="49" spans="1:10" x14ac:dyDescent="0.3">
      <c r="A49" s="5" t="s">
        <v>88</v>
      </c>
      <c r="B49" s="6" t="s">
        <v>89</v>
      </c>
      <c r="C49" s="7" t="s">
        <v>53</v>
      </c>
      <c r="D49" s="7" t="s">
        <v>6</v>
      </c>
      <c r="E49" s="8">
        <v>9</v>
      </c>
      <c r="F49" s="9">
        <v>90.75</v>
      </c>
      <c r="G49" s="10">
        <v>1440</v>
      </c>
      <c r="H49" s="9" t="s">
        <v>1017</v>
      </c>
      <c r="I49" s="9"/>
      <c r="J49" s="22">
        <f>I49*E49</f>
        <v>0</v>
      </c>
    </row>
    <row r="50" spans="1:10" x14ac:dyDescent="0.3">
      <c r="A50" s="5">
        <v>1001232</v>
      </c>
      <c r="B50" s="6" t="s">
        <v>90</v>
      </c>
      <c r="C50" s="7" t="s">
        <v>28</v>
      </c>
      <c r="D50" s="7" t="s">
        <v>91</v>
      </c>
      <c r="E50" s="8">
        <v>41</v>
      </c>
      <c r="F50" s="9">
        <v>182.81</v>
      </c>
      <c r="G50" s="10">
        <v>960</v>
      </c>
      <c r="H50" s="9" t="s">
        <v>1017</v>
      </c>
      <c r="I50" s="9"/>
      <c r="J50" s="22">
        <f>I50*E50</f>
        <v>0</v>
      </c>
    </row>
    <row r="51" spans="1:10" x14ac:dyDescent="0.3">
      <c r="A51" s="32" t="s">
        <v>934</v>
      </c>
      <c r="B51" s="31" t="s">
        <v>941</v>
      </c>
      <c r="C51" s="32" t="s">
        <v>939</v>
      </c>
      <c r="D51" s="32" t="s">
        <v>92</v>
      </c>
      <c r="E51" s="8">
        <v>35</v>
      </c>
      <c r="F51" s="9">
        <v>127.95</v>
      </c>
      <c r="G51" s="30">
        <v>480</v>
      </c>
      <c r="H51" s="9" t="s">
        <v>1017</v>
      </c>
      <c r="I51" s="9"/>
      <c r="J51" s="22">
        <f>I51*E51</f>
        <v>0</v>
      </c>
    </row>
    <row r="52" spans="1:10" x14ac:dyDescent="0.3">
      <c r="A52" s="5" t="s">
        <v>93</v>
      </c>
      <c r="B52" s="6" t="s">
        <v>94</v>
      </c>
      <c r="C52" s="7" t="s">
        <v>95</v>
      </c>
      <c r="D52" s="7" t="s">
        <v>92</v>
      </c>
      <c r="E52" s="8">
        <v>36</v>
      </c>
      <c r="F52" s="9">
        <v>141.30000000000001</v>
      </c>
      <c r="G52" s="30">
        <v>480</v>
      </c>
      <c r="H52" s="9" t="s">
        <v>1017</v>
      </c>
      <c r="I52" s="9"/>
      <c r="J52" s="22">
        <f>I52*E52</f>
        <v>0</v>
      </c>
    </row>
    <row r="53" spans="1:10" x14ac:dyDescent="0.3">
      <c r="A53" s="5">
        <v>1001549</v>
      </c>
      <c r="B53" s="6" t="s">
        <v>963</v>
      </c>
      <c r="C53" s="7" t="s">
        <v>964</v>
      </c>
      <c r="D53" s="7" t="s">
        <v>92</v>
      </c>
      <c r="E53" s="8">
        <v>40</v>
      </c>
      <c r="F53" s="9">
        <v>260</v>
      </c>
      <c r="G53" s="30">
        <v>200</v>
      </c>
      <c r="H53" s="9" t="s">
        <v>1017</v>
      </c>
      <c r="I53" s="9"/>
      <c r="J53" s="22">
        <f>I53*E53</f>
        <v>0</v>
      </c>
    </row>
    <row r="54" spans="1:10" x14ac:dyDescent="0.3">
      <c r="A54" s="30">
        <v>1001220</v>
      </c>
      <c r="B54" s="31" t="s">
        <v>1053</v>
      </c>
      <c r="C54" s="30" t="s">
        <v>96</v>
      </c>
      <c r="D54" s="32" t="s">
        <v>16</v>
      </c>
      <c r="E54" s="8">
        <v>38</v>
      </c>
      <c r="F54" s="9">
        <v>134</v>
      </c>
      <c r="G54" s="30">
        <v>600</v>
      </c>
      <c r="H54" s="30" t="s">
        <v>1030</v>
      </c>
      <c r="I54" s="30"/>
      <c r="J54" s="39">
        <v>0</v>
      </c>
    </row>
    <row r="55" spans="1:10" x14ac:dyDescent="0.3">
      <c r="A55" s="5" t="s">
        <v>97</v>
      </c>
      <c r="B55" s="6" t="s">
        <v>98</v>
      </c>
      <c r="C55" s="7" t="s">
        <v>53</v>
      </c>
      <c r="D55" s="7" t="s">
        <v>10</v>
      </c>
      <c r="E55" s="8">
        <v>25</v>
      </c>
      <c r="F55" s="9">
        <v>41.92</v>
      </c>
      <c r="G55" s="10">
        <v>1800</v>
      </c>
      <c r="H55" s="9" t="s">
        <v>1017</v>
      </c>
      <c r="I55" s="9"/>
      <c r="J55" s="22">
        <f>I55*E55</f>
        <v>0</v>
      </c>
    </row>
    <row r="56" spans="1:10" ht="37.799999999999997" x14ac:dyDescent="0.3">
      <c r="A56" s="5">
        <v>1000283</v>
      </c>
      <c r="B56" s="6" t="s">
        <v>99</v>
      </c>
      <c r="C56" s="7" t="s">
        <v>100</v>
      </c>
      <c r="D56" s="7" t="s">
        <v>42</v>
      </c>
      <c r="E56" s="8">
        <v>53</v>
      </c>
      <c r="F56" s="9">
        <v>204.57</v>
      </c>
      <c r="G56" s="10">
        <v>108</v>
      </c>
      <c r="H56" s="9" t="s">
        <v>1017</v>
      </c>
      <c r="I56" s="9"/>
      <c r="J56" s="22">
        <f>I56*E56</f>
        <v>0</v>
      </c>
    </row>
    <row r="57" spans="1:10" x14ac:dyDescent="0.3">
      <c r="A57" s="5">
        <v>1000426</v>
      </c>
      <c r="B57" s="6" t="s">
        <v>101</v>
      </c>
      <c r="C57" s="7" t="s">
        <v>56</v>
      </c>
      <c r="D57" s="7" t="s">
        <v>6</v>
      </c>
      <c r="E57" s="8">
        <v>31</v>
      </c>
      <c r="F57" s="9">
        <v>176.9</v>
      </c>
      <c r="G57" s="10">
        <v>300</v>
      </c>
      <c r="H57" s="9" t="s">
        <v>1017</v>
      </c>
      <c r="I57" s="9"/>
      <c r="J57" s="22">
        <f>I57*E57</f>
        <v>0</v>
      </c>
    </row>
    <row r="58" spans="1:10" x14ac:dyDescent="0.3">
      <c r="A58" s="5">
        <v>1000087</v>
      </c>
      <c r="B58" s="6" t="s">
        <v>102</v>
      </c>
      <c r="C58" s="7" t="s">
        <v>103</v>
      </c>
      <c r="D58" s="7" t="s">
        <v>6</v>
      </c>
      <c r="E58" s="8">
        <v>22.5</v>
      </c>
      <c r="F58" s="9">
        <v>213.26</v>
      </c>
      <c r="G58" s="10">
        <v>400</v>
      </c>
      <c r="H58" s="9" t="s">
        <v>1017</v>
      </c>
      <c r="I58" s="9"/>
      <c r="J58" s="22">
        <f>I58*E58</f>
        <v>0</v>
      </c>
    </row>
    <row r="59" spans="1:10" x14ac:dyDescent="0.3">
      <c r="A59" s="5" t="s">
        <v>104</v>
      </c>
      <c r="B59" s="6" t="s">
        <v>105</v>
      </c>
      <c r="C59" s="7" t="s">
        <v>106</v>
      </c>
      <c r="D59" s="7" t="s">
        <v>6</v>
      </c>
      <c r="E59" s="8">
        <v>20</v>
      </c>
      <c r="F59" s="9">
        <v>149.69999999999999</v>
      </c>
      <c r="G59" s="10">
        <v>540</v>
      </c>
      <c r="H59" s="9" t="s">
        <v>1017</v>
      </c>
      <c r="I59" s="9"/>
      <c r="J59" s="22">
        <f>I59*E59</f>
        <v>0</v>
      </c>
    </row>
    <row r="60" spans="1:10" x14ac:dyDescent="0.3">
      <c r="A60" s="5" t="s">
        <v>107</v>
      </c>
      <c r="B60" s="6" t="s">
        <v>108</v>
      </c>
      <c r="C60" s="7" t="s">
        <v>103</v>
      </c>
      <c r="D60" s="7" t="s">
        <v>109</v>
      </c>
      <c r="E60" s="8">
        <v>70</v>
      </c>
      <c r="F60" s="9">
        <v>342.18</v>
      </c>
      <c r="G60" s="10">
        <v>240</v>
      </c>
      <c r="H60" s="9" t="s">
        <v>1017</v>
      </c>
      <c r="I60" s="9"/>
      <c r="J60" s="22">
        <f>I60*E60</f>
        <v>0</v>
      </c>
    </row>
    <row r="61" spans="1:10" x14ac:dyDescent="0.3">
      <c r="A61" s="5">
        <v>1001060</v>
      </c>
      <c r="B61" s="6" t="s">
        <v>110</v>
      </c>
      <c r="C61" s="7" t="s">
        <v>111</v>
      </c>
      <c r="D61" s="7" t="s">
        <v>6</v>
      </c>
      <c r="E61" s="8">
        <v>85</v>
      </c>
      <c r="F61" s="9">
        <v>402.18</v>
      </c>
      <c r="G61" s="10">
        <v>360</v>
      </c>
      <c r="H61" s="9" t="s">
        <v>1017</v>
      </c>
      <c r="I61" s="9"/>
      <c r="J61" s="22">
        <f>I61*E61</f>
        <v>0</v>
      </c>
    </row>
    <row r="62" spans="1:10" ht="25.2" x14ac:dyDescent="0.3">
      <c r="A62" s="5">
        <v>1000603</v>
      </c>
      <c r="B62" s="6" t="s">
        <v>112</v>
      </c>
      <c r="C62" s="7" t="s">
        <v>50</v>
      </c>
      <c r="D62" s="7" t="s">
        <v>80</v>
      </c>
      <c r="E62" s="8">
        <v>22</v>
      </c>
      <c r="F62" s="9">
        <v>106.05</v>
      </c>
      <c r="G62" s="10">
        <v>480</v>
      </c>
      <c r="H62" s="9" t="s">
        <v>1017</v>
      </c>
      <c r="I62" s="9"/>
      <c r="J62" s="22">
        <f>I62*E62</f>
        <v>0</v>
      </c>
    </row>
    <row r="63" spans="1:10" x14ac:dyDescent="0.3">
      <c r="A63" s="5">
        <v>1000160</v>
      </c>
      <c r="B63" s="6" t="s">
        <v>113</v>
      </c>
      <c r="C63" s="7" t="s">
        <v>114</v>
      </c>
      <c r="D63" s="7" t="s">
        <v>115</v>
      </c>
      <c r="E63" s="8">
        <v>30</v>
      </c>
      <c r="F63" s="9">
        <v>118.53</v>
      </c>
      <c r="G63" s="10">
        <v>192</v>
      </c>
      <c r="H63" s="9" t="s">
        <v>1017</v>
      </c>
      <c r="I63" s="9"/>
      <c r="J63" s="22">
        <f>I63*E63</f>
        <v>0</v>
      </c>
    </row>
    <row r="64" spans="1:10" x14ac:dyDescent="0.3">
      <c r="A64" s="5" t="s">
        <v>116</v>
      </c>
      <c r="B64" s="6" t="s">
        <v>117</v>
      </c>
      <c r="C64" s="7" t="s">
        <v>118</v>
      </c>
      <c r="D64" s="7" t="s">
        <v>16</v>
      </c>
      <c r="E64" s="8">
        <v>15</v>
      </c>
      <c r="F64" s="9">
        <v>84.56</v>
      </c>
      <c r="G64" s="10">
        <v>600</v>
      </c>
      <c r="H64" s="9" t="s">
        <v>1017</v>
      </c>
      <c r="I64" s="9"/>
      <c r="J64" s="22">
        <f>I64*E64</f>
        <v>0</v>
      </c>
    </row>
    <row r="65" spans="1:10" x14ac:dyDescent="0.3">
      <c r="A65" s="5">
        <v>1001278</v>
      </c>
      <c r="B65" s="6" t="s">
        <v>119</v>
      </c>
      <c r="C65" s="7" t="s">
        <v>120</v>
      </c>
      <c r="D65" s="7" t="s">
        <v>16</v>
      </c>
      <c r="E65" s="8">
        <v>35</v>
      </c>
      <c r="F65" s="9">
        <v>135.93</v>
      </c>
      <c r="G65" s="10">
        <v>288</v>
      </c>
      <c r="H65" s="9" t="s">
        <v>1017</v>
      </c>
      <c r="I65" s="9"/>
      <c r="J65" s="22">
        <f>I65*E65</f>
        <v>0</v>
      </c>
    </row>
    <row r="66" spans="1:10" x14ac:dyDescent="0.3">
      <c r="A66" s="5">
        <v>1000740</v>
      </c>
      <c r="B66" s="6" t="s">
        <v>121</v>
      </c>
      <c r="C66" s="7" t="s">
        <v>59</v>
      </c>
      <c r="D66" s="7" t="s">
        <v>10</v>
      </c>
      <c r="E66" s="8">
        <v>48</v>
      </c>
      <c r="F66" s="9">
        <v>187.17</v>
      </c>
      <c r="G66" s="10">
        <v>300</v>
      </c>
      <c r="H66" s="9" t="s">
        <v>1017</v>
      </c>
      <c r="I66" s="9"/>
      <c r="J66" s="22">
        <f>I66*E66</f>
        <v>0</v>
      </c>
    </row>
    <row r="67" spans="1:10" x14ac:dyDescent="0.3">
      <c r="A67" s="5" t="s">
        <v>122</v>
      </c>
      <c r="B67" s="6" t="s">
        <v>123</v>
      </c>
      <c r="C67" s="7" t="s">
        <v>124</v>
      </c>
      <c r="D67" s="7" t="s">
        <v>16</v>
      </c>
      <c r="E67" s="8">
        <v>42</v>
      </c>
      <c r="F67" s="9">
        <v>170.15</v>
      </c>
      <c r="G67" s="10">
        <v>300</v>
      </c>
      <c r="H67" s="9" t="s">
        <v>1017</v>
      </c>
      <c r="I67" s="9"/>
      <c r="J67" s="22">
        <f>I67*E67</f>
        <v>0</v>
      </c>
    </row>
    <row r="68" spans="1:10" x14ac:dyDescent="0.3">
      <c r="A68" s="5" t="s">
        <v>125</v>
      </c>
      <c r="B68" s="6" t="s">
        <v>126</v>
      </c>
      <c r="C68" s="7" t="s">
        <v>56</v>
      </c>
      <c r="D68" s="7" t="s">
        <v>10</v>
      </c>
      <c r="E68" s="8">
        <v>105</v>
      </c>
      <c r="F68" s="9">
        <v>304.20999999999998</v>
      </c>
      <c r="G68" s="10">
        <v>300</v>
      </c>
      <c r="H68" s="9" t="s">
        <v>1017</v>
      </c>
      <c r="I68" s="9"/>
      <c r="J68" s="22">
        <f>I68*E68</f>
        <v>0</v>
      </c>
    </row>
    <row r="69" spans="1:10" x14ac:dyDescent="0.3">
      <c r="A69" s="5">
        <v>1000765</v>
      </c>
      <c r="B69" s="6" t="s">
        <v>127</v>
      </c>
      <c r="C69" s="7" t="s">
        <v>128</v>
      </c>
      <c r="D69" s="7" t="s">
        <v>129</v>
      </c>
      <c r="E69" s="8">
        <v>60</v>
      </c>
      <c r="F69" s="9">
        <v>226.87</v>
      </c>
      <c r="G69" s="10">
        <v>60</v>
      </c>
      <c r="H69" s="9" t="s">
        <v>1017</v>
      </c>
      <c r="I69" s="9"/>
      <c r="J69" s="22">
        <f>I69*E69</f>
        <v>0</v>
      </c>
    </row>
    <row r="70" spans="1:10" x14ac:dyDescent="0.3">
      <c r="A70" s="5">
        <v>1000255</v>
      </c>
      <c r="B70" s="6" t="s">
        <v>130</v>
      </c>
      <c r="C70" s="7" t="s">
        <v>131</v>
      </c>
      <c r="D70" s="7" t="s">
        <v>6</v>
      </c>
      <c r="E70" s="8">
        <v>60</v>
      </c>
      <c r="F70" s="9">
        <v>510.46</v>
      </c>
      <c r="G70" s="10">
        <v>460</v>
      </c>
      <c r="H70" s="9" t="s">
        <v>1017</v>
      </c>
      <c r="I70" s="9"/>
      <c r="J70" s="22">
        <f>I70*E70</f>
        <v>0</v>
      </c>
    </row>
    <row r="71" spans="1:10" ht="25.2" x14ac:dyDescent="0.3">
      <c r="A71" s="5" t="s">
        <v>1054</v>
      </c>
      <c r="B71" s="6" t="s">
        <v>1055</v>
      </c>
      <c r="C71" s="11" t="s">
        <v>170</v>
      </c>
      <c r="D71" s="13" t="s">
        <v>51</v>
      </c>
      <c r="E71" s="8">
        <v>36.5</v>
      </c>
      <c r="F71" s="9">
        <v>180.92</v>
      </c>
      <c r="G71" s="11">
        <v>200</v>
      </c>
      <c r="H71" s="30" t="s">
        <v>1030</v>
      </c>
      <c r="I71" s="30"/>
      <c r="J71" s="39">
        <v>0</v>
      </c>
    </row>
    <row r="72" spans="1:10" x14ac:dyDescent="0.3">
      <c r="A72" s="5">
        <v>1001538</v>
      </c>
      <c r="B72" s="6" t="s">
        <v>1056</v>
      </c>
      <c r="C72" s="30" t="s">
        <v>923</v>
      </c>
      <c r="D72" s="32" t="s">
        <v>288</v>
      </c>
      <c r="E72" s="8">
        <v>29</v>
      </c>
      <c r="F72" s="9">
        <v>124.77</v>
      </c>
      <c r="G72" s="30">
        <v>1260</v>
      </c>
      <c r="H72" s="30" t="s">
        <v>1030</v>
      </c>
      <c r="I72" s="30"/>
      <c r="J72" s="39">
        <v>0</v>
      </c>
    </row>
    <row r="73" spans="1:10" x14ac:dyDescent="0.3">
      <c r="A73" s="5">
        <v>1000448</v>
      </c>
      <c r="B73" s="6" t="s">
        <v>1057</v>
      </c>
      <c r="C73" s="30" t="s">
        <v>28</v>
      </c>
      <c r="D73" s="32" t="s">
        <v>25</v>
      </c>
      <c r="E73" s="8">
        <v>45</v>
      </c>
      <c r="F73" s="9">
        <v>221.2</v>
      </c>
      <c r="G73" s="30">
        <v>400</v>
      </c>
      <c r="H73" s="30" t="s">
        <v>1030</v>
      </c>
      <c r="I73" s="30"/>
      <c r="J73" s="39">
        <v>0</v>
      </c>
    </row>
    <row r="74" spans="1:10" ht="25.2" x14ac:dyDescent="0.3">
      <c r="A74" s="5" t="s">
        <v>1058</v>
      </c>
      <c r="B74" s="6" t="s">
        <v>1059</v>
      </c>
      <c r="C74" s="30" t="s">
        <v>170</v>
      </c>
      <c r="D74" s="32" t="s">
        <v>51</v>
      </c>
      <c r="E74" s="8">
        <v>25.75</v>
      </c>
      <c r="F74" s="9">
        <v>108.56</v>
      </c>
      <c r="G74" s="30">
        <v>200</v>
      </c>
      <c r="H74" s="30" t="s">
        <v>1030</v>
      </c>
      <c r="I74" s="30"/>
      <c r="J74" s="39">
        <v>0</v>
      </c>
    </row>
    <row r="75" spans="1:10" x14ac:dyDescent="0.3">
      <c r="A75" s="5" t="s">
        <v>1060</v>
      </c>
      <c r="B75" s="6" t="s">
        <v>1061</v>
      </c>
      <c r="C75" s="30" t="s">
        <v>1062</v>
      </c>
      <c r="D75" s="32" t="s">
        <v>1045</v>
      </c>
      <c r="E75" s="8">
        <v>12</v>
      </c>
      <c r="F75" s="9">
        <v>30.47</v>
      </c>
      <c r="G75" s="30">
        <v>400</v>
      </c>
      <c r="H75" s="30" t="s">
        <v>1030</v>
      </c>
      <c r="I75" s="30"/>
      <c r="J75" s="39">
        <v>0</v>
      </c>
    </row>
    <row r="76" spans="1:10" x14ac:dyDescent="0.3">
      <c r="A76" s="5" t="s">
        <v>1063</v>
      </c>
      <c r="B76" s="6" t="s">
        <v>1064</v>
      </c>
      <c r="C76" s="30" t="s">
        <v>1062</v>
      </c>
      <c r="D76" s="32" t="s">
        <v>1045</v>
      </c>
      <c r="E76" s="8">
        <v>14</v>
      </c>
      <c r="F76" s="9">
        <v>54.06</v>
      </c>
      <c r="G76" s="30">
        <v>400</v>
      </c>
      <c r="H76" s="30" t="s">
        <v>1030</v>
      </c>
      <c r="I76" s="30"/>
      <c r="J76" s="39">
        <v>0</v>
      </c>
    </row>
    <row r="77" spans="1:10" x14ac:dyDescent="0.3">
      <c r="A77" s="5" t="s">
        <v>1065</v>
      </c>
      <c r="B77" s="6" t="s">
        <v>1066</v>
      </c>
      <c r="C77" s="30" t="s">
        <v>65</v>
      </c>
      <c r="D77" s="32" t="s">
        <v>1045</v>
      </c>
      <c r="E77" s="8">
        <v>27</v>
      </c>
      <c r="F77" s="9">
        <v>212.74</v>
      </c>
      <c r="G77" s="30">
        <v>240</v>
      </c>
      <c r="H77" s="30" t="s">
        <v>1030</v>
      </c>
      <c r="I77" s="30"/>
      <c r="J77" s="39">
        <v>0</v>
      </c>
    </row>
    <row r="78" spans="1:10" x14ac:dyDescent="0.3">
      <c r="A78" s="5" t="s">
        <v>1067</v>
      </c>
      <c r="B78" s="6" t="s">
        <v>1068</v>
      </c>
      <c r="C78" s="30" t="s">
        <v>61</v>
      </c>
      <c r="D78" s="32" t="s">
        <v>1045</v>
      </c>
      <c r="E78" s="8">
        <v>14.75</v>
      </c>
      <c r="F78" s="9">
        <v>62.39</v>
      </c>
      <c r="G78" s="30">
        <v>400</v>
      </c>
      <c r="H78" s="30" t="s">
        <v>1030</v>
      </c>
      <c r="I78" s="30"/>
      <c r="J78" s="39">
        <v>0</v>
      </c>
    </row>
    <row r="79" spans="1:10" x14ac:dyDescent="0.3">
      <c r="A79" s="5" t="s">
        <v>1069</v>
      </c>
      <c r="B79" s="6" t="s">
        <v>1070</v>
      </c>
      <c r="C79" s="30" t="s">
        <v>61</v>
      </c>
      <c r="D79" s="32" t="s">
        <v>1045</v>
      </c>
      <c r="E79" s="8">
        <v>19</v>
      </c>
      <c r="F79" s="9">
        <v>93</v>
      </c>
      <c r="G79" s="30">
        <v>400</v>
      </c>
      <c r="H79" s="30" t="s">
        <v>1030</v>
      </c>
      <c r="I79" s="30"/>
      <c r="J79" s="39">
        <v>0</v>
      </c>
    </row>
    <row r="80" spans="1:10" x14ac:dyDescent="0.3">
      <c r="A80" s="5" t="s">
        <v>1071</v>
      </c>
      <c r="B80" s="6" t="s">
        <v>1072</v>
      </c>
      <c r="C80" s="11" t="s">
        <v>61</v>
      </c>
      <c r="D80" s="13" t="s">
        <v>1045</v>
      </c>
      <c r="E80" s="8">
        <v>18</v>
      </c>
      <c r="F80" s="9">
        <v>67.069999999999993</v>
      </c>
      <c r="G80" s="11">
        <v>400</v>
      </c>
      <c r="H80" s="30" t="s">
        <v>1030</v>
      </c>
      <c r="I80" s="30"/>
      <c r="J80" s="39">
        <v>0</v>
      </c>
    </row>
    <row r="81" spans="1:10" x14ac:dyDescent="0.3">
      <c r="A81" s="5" t="s">
        <v>1073</v>
      </c>
      <c r="B81" s="6" t="s">
        <v>1074</v>
      </c>
      <c r="C81" s="30" t="s">
        <v>65</v>
      </c>
      <c r="D81" s="32" t="s">
        <v>1045</v>
      </c>
      <c r="E81" s="8">
        <v>36</v>
      </c>
      <c r="F81" s="9">
        <v>209.85</v>
      </c>
      <c r="G81" s="30">
        <v>300</v>
      </c>
      <c r="H81" s="30" t="s">
        <v>1030</v>
      </c>
      <c r="I81" s="30"/>
      <c r="J81" s="39">
        <v>0</v>
      </c>
    </row>
    <row r="82" spans="1:10" x14ac:dyDescent="0.3">
      <c r="A82" s="5" t="s">
        <v>1075</v>
      </c>
      <c r="B82" s="6" t="s">
        <v>1076</v>
      </c>
      <c r="C82" s="7" t="s">
        <v>1077</v>
      </c>
      <c r="D82" s="7" t="s">
        <v>1078</v>
      </c>
      <c r="E82" s="8">
        <v>16</v>
      </c>
      <c r="F82" s="9">
        <v>78</v>
      </c>
      <c r="G82" s="10">
        <v>400</v>
      </c>
      <c r="H82" s="30" t="s">
        <v>1030</v>
      </c>
      <c r="I82" s="30"/>
      <c r="J82" s="39">
        <v>0</v>
      </c>
    </row>
    <row r="83" spans="1:10" x14ac:dyDescent="0.3">
      <c r="A83" s="24" t="s">
        <v>1079</v>
      </c>
      <c r="B83" s="25" t="s">
        <v>1080</v>
      </c>
      <c r="C83" s="26" t="s">
        <v>1077</v>
      </c>
      <c r="D83" s="26" t="s">
        <v>1078</v>
      </c>
      <c r="E83" s="8">
        <v>22</v>
      </c>
      <c r="F83" s="9">
        <v>130</v>
      </c>
      <c r="G83" s="29">
        <v>400</v>
      </c>
      <c r="H83" s="30" t="s">
        <v>1030</v>
      </c>
      <c r="I83" s="30"/>
      <c r="J83" s="39">
        <v>0</v>
      </c>
    </row>
    <row r="84" spans="1:10" x14ac:dyDescent="0.3">
      <c r="A84" s="5" t="s">
        <v>1081</v>
      </c>
      <c r="B84" s="6" t="s">
        <v>1082</v>
      </c>
      <c r="C84" s="30" t="s">
        <v>1083</v>
      </c>
      <c r="D84" s="32" t="s">
        <v>6</v>
      </c>
      <c r="E84" s="8">
        <v>2.4</v>
      </c>
      <c r="F84" s="9">
        <v>20.16</v>
      </c>
      <c r="G84" s="30">
        <v>6720</v>
      </c>
      <c r="H84" s="30" t="s">
        <v>1030</v>
      </c>
      <c r="I84" s="30"/>
      <c r="J84" s="39">
        <v>0</v>
      </c>
    </row>
    <row r="85" spans="1:10" x14ac:dyDescent="0.3">
      <c r="A85" s="5" t="s">
        <v>132</v>
      </c>
      <c r="B85" s="6" t="s">
        <v>133</v>
      </c>
      <c r="C85" s="7" t="s">
        <v>24</v>
      </c>
      <c r="D85" s="7" t="s">
        <v>6</v>
      </c>
      <c r="E85" s="8">
        <v>9</v>
      </c>
      <c r="F85" s="9">
        <v>58.78</v>
      </c>
      <c r="G85" s="10">
        <v>1500</v>
      </c>
      <c r="H85" s="9" t="s">
        <v>1017</v>
      </c>
      <c r="I85" s="9"/>
      <c r="J85" s="22">
        <f>I85*E85</f>
        <v>0</v>
      </c>
    </row>
    <row r="86" spans="1:10" x14ac:dyDescent="0.3">
      <c r="A86" s="5">
        <v>1000548</v>
      </c>
      <c r="B86" s="6" t="s">
        <v>134</v>
      </c>
      <c r="C86" s="7" t="s">
        <v>135</v>
      </c>
      <c r="D86" s="7" t="s">
        <v>6</v>
      </c>
      <c r="E86" s="8">
        <v>46</v>
      </c>
      <c r="F86" s="9">
        <v>371.25</v>
      </c>
      <c r="G86" s="10">
        <v>300</v>
      </c>
      <c r="H86" s="9" t="s">
        <v>1017</v>
      </c>
      <c r="I86" s="9"/>
      <c r="J86" s="22">
        <f>I86*E86</f>
        <v>0</v>
      </c>
    </row>
    <row r="87" spans="1:10" x14ac:dyDescent="0.3">
      <c r="A87" s="5">
        <v>1001372</v>
      </c>
      <c r="B87" s="6" t="s">
        <v>956</v>
      </c>
      <c r="C87" s="7" t="s">
        <v>923</v>
      </c>
      <c r="D87" s="7" t="s">
        <v>6</v>
      </c>
      <c r="E87" s="8">
        <v>15</v>
      </c>
      <c r="F87" s="9">
        <v>165</v>
      </c>
      <c r="G87" s="10">
        <v>1260</v>
      </c>
      <c r="H87" s="9" t="s">
        <v>1017</v>
      </c>
      <c r="I87" s="9"/>
      <c r="J87" s="22">
        <f>I87*E87</f>
        <v>0</v>
      </c>
    </row>
    <row r="88" spans="1:10" x14ac:dyDescent="0.3">
      <c r="A88" s="5">
        <v>1001373</v>
      </c>
      <c r="B88" s="6" t="s">
        <v>957</v>
      </c>
      <c r="C88" s="7" t="s">
        <v>923</v>
      </c>
      <c r="D88" s="7" t="s">
        <v>6</v>
      </c>
      <c r="E88" s="8">
        <v>16</v>
      </c>
      <c r="F88" s="9">
        <v>180</v>
      </c>
      <c r="G88" s="10">
        <v>1120</v>
      </c>
      <c r="H88" s="9" t="s">
        <v>1017</v>
      </c>
      <c r="I88" s="9"/>
      <c r="J88" s="22">
        <f>I88*E88</f>
        <v>0</v>
      </c>
    </row>
    <row r="89" spans="1:10" x14ac:dyDescent="0.3">
      <c r="A89" s="5" t="s">
        <v>136</v>
      </c>
      <c r="B89" s="6" t="s">
        <v>137</v>
      </c>
      <c r="C89" s="7" t="s">
        <v>53</v>
      </c>
      <c r="D89" s="7" t="s">
        <v>10</v>
      </c>
      <c r="E89" s="8">
        <v>10.5</v>
      </c>
      <c r="F89" s="9">
        <v>112.3</v>
      </c>
      <c r="G89" s="10">
        <v>1440</v>
      </c>
      <c r="H89" s="9" t="s">
        <v>1017</v>
      </c>
      <c r="I89" s="9"/>
      <c r="J89" s="22">
        <f>I89*E89</f>
        <v>0</v>
      </c>
    </row>
    <row r="90" spans="1:10" x14ac:dyDescent="0.3">
      <c r="A90" s="5" t="s">
        <v>138</v>
      </c>
      <c r="B90" s="6" t="s">
        <v>139</v>
      </c>
      <c r="C90" s="7" t="s">
        <v>56</v>
      </c>
      <c r="D90" s="7" t="s">
        <v>10</v>
      </c>
      <c r="E90" s="8">
        <v>95</v>
      </c>
      <c r="F90" s="9">
        <v>723.73</v>
      </c>
      <c r="G90" s="10">
        <v>400</v>
      </c>
      <c r="H90" s="9" t="s">
        <v>1017</v>
      </c>
      <c r="I90" s="9"/>
      <c r="J90" s="22">
        <f>I90*E90</f>
        <v>0</v>
      </c>
    </row>
    <row r="91" spans="1:10" x14ac:dyDescent="0.3">
      <c r="A91" s="5" t="s">
        <v>140</v>
      </c>
      <c r="B91" s="6" t="s">
        <v>141</v>
      </c>
      <c r="C91" s="7" t="s">
        <v>142</v>
      </c>
      <c r="D91" s="7" t="s">
        <v>143</v>
      </c>
      <c r="E91" s="8">
        <v>115</v>
      </c>
      <c r="F91" s="9">
        <v>732.18</v>
      </c>
      <c r="G91" s="10">
        <v>200</v>
      </c>
      <c r="H91" s="9" t="s">
        <v>1017</v>
      </c>
      <c r="I91" s="9"/>
      <c r="J91" s="22">
        <f>I91*E91</f>
        <v>0</v>
      </c>
    </row>
    <row r="92" spans="1:10" x14ac:dyDescent="0.3">
      <c r="A92" s="5" t="s">
        <v>144</v>
      </c>
      <c r="B92" s="6" t="s">
        <v>145</v>
      </c>
      <c r="C92" s="7" t="s">
        <v>56</v>
      </c>
      <c r="D92" s="7" t="s">
        <v>10</v>
      </c>
      <c r="E92" s="8">
        <v>105</v>
      </c>
      <c r="F92" s="9">
        <v>685.78</v>
      </c>
      <c r="G92" s="10">
        <v>300</v>
      </c>
      <c r="H92" s="9" t="s">
        <v>1017</v>
      </c>
      <c r="I92" s="9"/>
      <c r="J92" s="22">
        <f>I92*E92</f>
        <v>0</v>
      </c>
    </row>
    <row r="93" spans="1:10" x14ac:dyDescent="0.3">
      <c r="A93" s="5" t="s">
        <v>146</v>
      </c>
      <c r="B93" s="6" t="s">
        <v>147</v>
      </c>
      <c r="C93" s="7" t="s">
        <v>100</v>
      </c>
      <c r="D93" s="7" t="s">
        <v>129</v>
      </c>
      <c r="E93" s="8">
        <v>20</v>
      </c>
      <c r="F93" s="9">
        <v>112.3</v>
      </c>
      <c r="G93" s="10">
        <v>150</v>
      </c>
      <c r="H93" s="9" t="s">
        <v>1017</v>
      </c>
      <c r="I93" s="9"/>
      <c r="J93" s="22">
        <f>I93*E93</f>
        <v>0</v>
      </c>
    </row>
    <row r="94" spans="1:10" x14ac:dyDescent="0.3">
      <c r="A94" s="5" t="s">
        <v>148</v>
      </c>
      <c r="B94" s="6" t="s">
        <v>149</v>
      </c>
      <c r="C94" s="7" t="s">
        <v>19</v>
      </c>
      <c r="D94" s="7" t="s">
        <v>16</v>
      </c>
      <c r="E94" s="8">
        <v>28</v>
      </c>
      <c r="F94" s="9">
        <v>158.81</v>
      </c>
      <c r="G94" s="10">
        <v>360</v>
      </c>
      <c r="H94" s="9" t="s">
        <v>1017</v>
      </c>
      <c r="I94" s="9"/>
      <c r="J94" s="22">
        <f>I94*E94</f>
        <v>0</v>
      </c>
    </row>
    <row r="95" spans="1:10" ht="25.2" x14ac:dyDescent="0.3">
      <c r="A95" s="5" t="s">
        <v>150</v>
      </c>
      <c r="B95" s="6" t="s">
        <v>151</v>
      </c>
      <c r="C95" s="7" t="s">
        <v>50</v>
      </c>
      <c r="D95" s="7" t="s">
        <v>51</v>
      </c>
      <c r="E95" s="8">
        <v>58.5</v>
      </c>
      <c r="F95" s="9">
        <v>149.94</v>
      </c>
      <c r="G95" s="10">
        <v>120</v>
      </c>
      <c r="H95" s="9" t="s">
        <v>1017</v>
      </c>
      <c r="I95" s="9"/>
      <c r="J95" s="22">
        <f>I95*E95</f>
        <v>0</v>
      </c>
    </row>
    <row r="96" spans="1:10" x14ac:dyDescent="0.3">
      <c r="A96" s="5" t="s">
        <v>152</v>
      </c>
      <c r="B96" s="6" t="s">
        <v>153</v>
      </c>
      <c r="C96" s="7" t="s">
        <v>154</v>
      </c>
      <c r="D96" s="7" t="s">
        <v>6</v>
      </c>
      <c r="E96" s="8">
        <v>92</v>
      </c>
      <c r="F96" s="9">
        <v>258.72000000000003</v>
      </c>
      <c r="G96" s="10">
        <v>600</v>
      </c>
      <c r="H96" s="9" t="s">
        <v>1017</v>
      </c>
      <c r="I96" s="9"/>
      <c r="J96" s="22">
        <f>I96*E96</f>
        <v>0</v>
      </c>
    </row>
    <row r="97" spans="1:10" x14ac:dyDescent="0.3">
      <c r="A97" s="5" t="s">
        <v>155</v>
      </c>
      <c r="B97" s="6" t="s">
        <v>156</v>
      </c>
      <c r="C97" s="7" t="s">
        <v>154</v>
      </c>
      <c r="D97" s="7" t="s">
        <v>6</v>
      </c>
      <c r="E97" s="8">
        <v>170</v>
      </c>
      <c r="F97" s="9">
        <v>428.29</v>
      </c>
      <c r="G97" s="10">
        <v>480</v>
      </c>
      <c r="H97" s="9" t="s">
        <v>1017</v>
      </c>
      <c r="I97" s="9"/>
      <c r="J97" s="22">
        <f>I97*E97</f>
        <v>0</v>
      </c>
    </row>
    <row r="98" spans="1:10" x14ac:dyDescent="0.3">
      <c r="A98" s="5" t="s">
        <v>921</v>
      </c>
      <c r="B98" s="6" t="s">
        <v>922</v>
      </c>
      <c r="C98" s="30" t="s">
        <v>56</v>
      </c>
      <c r="D98" s="32" t="s">
        <v>6</v>
      </c>
      <c r="E98" s="8">
        <v>52</v>
      </c>
      <c r="F98" s="9">
        <v>305</v>
      </c>
      <c r="G98" s="30">
        <v>540</v>
      </c>
      <c r="H98" s="9" t="s">
        <v>1017</v>
      </c>
      <c r="I98" s="9"/>
      <c r="J98" s="22">
        <f>I98*E98</f>
        <v>0</v>
      </c>
    </row>
    <row r="99" spans="1:10" x14ac:dyDescent="0.3">
      <c r="A99" s="5" t="s">
        <v>157</v>
      </c>
      <c r="B99" s="6" t="s">
        <v>158</v>
      </c>
      <c r="C99" s="7" t="s">
        <v>19</v>
      </c>
      <c r="D99" s="7" t="s">
        <v>16</v>
      </c>
      <c r="E99" s="8">
        <v>15</v>
      </c>
      <c r="F99" s="9">
        <v>85.8</v>
      </c>
      <c r="G99" s="10">
        <v>600</v>
      </c>
      <c r="H99" s="9" t="s">
        <v>1017</v>
      </c>
      <c r="I99" s="9"/>
      <c r="J99" s="22">
        <f>I99*E99</f>
        <v>0</v>
      </c>
    </row>
    <row r="100" spans="1:10" ht="25.2" x14ac:dyDescent="0.3">
      <c r="A100" s="5">
        <v>1000604</v>
      </c>
      <c r="B100" s="6" t="s">
        <v>159</v>
      </c>
      <c r="C100" s="7" t="s">
        <v>160</v>
      </c>
      <c r="D100" s="7" t="s">
        <v>80</v>
      </c>
      <c r="E100" s="8">
        <v>21</v>
      </c>
      <c r="F100" s="9">
        <v>88.48</v>
      </c>
      <c r="G100" s="10">
        <v>450</v>
      </c>
      <c r="H100" s="9" t="s">
        <v>1017</v>
      </c>
      <c r="I100" s="9"/>
      <c r="J100" s="22">
        <f>I100*E100</f>
        <v>0</v>
      </c>
    </row>
    <row r="101" spans="1:10" x14ac:dyDescent="0.3">
      <c r="A101" s="5" t="s">
        <v>161</v>
      </c>
      <c r="B101" s="6" t="s">
        <v>162</v>
      </c>
      <c r="C101" s="7" t="s">
        <v>19</v>
      </c>
      <c r="D101" s="7" t="s">
        <v>16</v>
      </c>
      <c r="E101" s="8">
        <v>16.5</v>
      </c>
      <c r="F101" s="9">
        <v>81.09</v>
      </c>
      <c r="G101" s="10">
        <v>600</v>
      </c>
      <c r="H101" s="9" t="s">
        <v>1017</v>
      </c>
      <c r="I101" s="9"/>
      <c r="J101" s="22">
        <f>I101*E101</f>
        <v>0</v>
      </c>
    </row>
    <row r="102" spans="1:10" x14ac:dyDescent="0.3">
      <c r="A102" s="5" t="s">
        <v>163</v>
      </c>
      <c r="B102" s="6" t="s">
        <v>164</v>
      </c>
      <c r="C102" s="7" t="s">
        <v>165</v>
      </c>
      <c r="D102" s="7" t="s">
        <v>16</v>
      </c>
      <c r="E102" s="8">
        <v>20</v>
      </c>
      <c r="F102" s="9">
        <v>124.78</v>
      </c>
      <c r="G102" s="10">
        <v>600</v>
      </c>
      <c r="H102" s="9" t="s">
        <v>1017</v>
      </c>
      <c r="I102" s="9"/>
      <c r="J102" s="22">
        <f>I102*E102</f>
        <v>0</v>
      </c>
    </row>
    <row r="103" spans="1:10" x14ac:dyDescent="0.3">
      <c r="A103" s="5">
        <v>1000079</v>
      </c>
      <c r="B103" s="6" t="s">
        <v>166</v>
      </c>
      <c r="C103" s="7" t="s">
        <v>56</v>
      </c>
      <c r="D103" s="7" t="s">
        <v>10</v>
      </c>
      <c r="E103" s="8">
        <v>68</v>
      </c>
      <c r="F103" s="9">
        <v>217.8</v>
      </c>
      <c r="G103" s="10">
        <v>630</v>
      </c>
      <c r="H103" s="9" t="s">
        <v>1017</v>
      </c>
      <c r="I103" s="9"/>
      <c r="J103" s="22">
        <f>I103*E103</f>
        <v>0</v>
      </c>
    </row>
    <row r="104" spans="1:10" x14ac:dyDescent="0.3">
      <c r="A104" s="5">
        <v>1000080</v>
      </c>
      <c r="B104" s="6" t="s">
        <v>167</v>
      </c>
      <c r="C104" s="7" t="s">
        <v>21</v>
      </c>
      <c r="D104" s="7" t="s">
        <v>10</v>
      </c>
      <c r="E104" s="8">
        <v>134</v>
      </c>
      <c r="F104" s="9">
        <v>309.37</v>
      </c>
      <c r="G104" s="10">
        <v>400</v>
      </c>
      <c r="H104" s="9" t="s">
        <v>1017</v>
      </c>
      <c r="I104" s="9"/>
      <c r="J104" s="22">
        <f>I104*E104</f>
        <v>0</v>
      </c>
    </row>
    <row r="105" spans="1:10" x14ac:dyDescent="0.3">
      <c r="A105" s="5">
        <v>1000121</v>
      </c>
      <c r="B105" s="6" t="s">
        <v>168</v>
      </c>
      <c r="C105" s="7" t="s">
        <v>56</v>
      </c>
      <c r="D105" s="7" t="s">
        <v>10</v>
      </c>
      <c r="E105" s="8">
        <v>165</v>
      </c>
      <c r="F105" s="9">
        <v>510.46</v>
      </c>
      <c r="G105" s="10">
        <v>300</v>
      </c>
      <c r="H105" s="9" t="s">
        <v>1017</v>
      </c>
      <c r="I105" s="9"/>
      <c r="J105" s="22">
        <f>I105*E105</f>
        <v>0</v>
      </c>
    </row>
    <row r="106" spans="1:10" x14ac:dyDescent="0.3">
      <c r="A106" s="5">
        <v>1000331</v>
      </c>
      <c r="B106" s="6" t="s">
        <v>169</v>
      </c>
      <c r="C106" s="7" t="s">
        <v>28</v>
      </c>
      <c r="D106" s="7" t="s">
        <v>25</v>
      </c>
      <c r="E106" s="8">
        <v>22</v>
      </c>
      <c r="F106" s="9">
        <v>141.9</v>
      </c>
      <c r="G106" s="10">
        <v>880</v>
      </c>
      <c r="H106" s="9" t="s">
        <v>1017</v>
      </c>
      <c r="I106" s="9"/>
      <c r="J106" s="22">
        <f>I106*E106</f>
        <v>0</v>
      </c>
    </row>
    <row r="107" spans="1:10" x14ac:dyDescent="0.3">
      <c r="A107" s="5">
        <v>1001401</v>
      </c>
      <c r="B107" s="6" t="s">
        <v>172</v>
      </c>
      <c r="C107" s="30" t="s">
        <v>173</v>
      </c>
      <c r="D107" s="32" t="s">
        <v>174</v>
      </c>
      <c r="E107" s="8">
        <v>8.5</v>
      </c>
      <c r="F107" s="9">
        <v>24.37</v>
      </c>
      <c r="G107" s="30">
        <v>2250</v>
      </c>
      <c r="H107" s="9" t="s">
        <v>1017</v>
      </c>
      <c r="I107" s="9"/>
      <c r="J107" s="22">
        <f>I107*E107</f>
        <v>0</v>
      </c>
    </row>
    <row r="108" spans="1:10" ht="37.799999999999997" x14ac:dyDescent="0.3">
      <c r="A108" s="5" t="s">
        <v>175</v>
      </c>
      <c r="B108" s="6" t="s">
        <v>176</v>
      </c>
      <c r="C108" s="7" t="s">
        <v>177</v>
      </c>
      <c r="D108" s="7" t="s">
        <v>42</v>
      </c>
      <c r="E108" s="8">
        <v>18</v>
      </c>
      <c r="F108" s="9">
        <v>74.849999999999994</v>
      </c>
      <c r="G108" s="10">
        <v>300</v>
      </c>
      <c r="H108" s="9" t="s">
        <v>1017</v>
      </c>
      <c r="I108" s="9"/>
      <c r="J108" s="22">
        <f>I108*E108</f>
        <v>0</v>
      </c>
    </row>
    <row r="109" spans="1:10" ht="37.799999999999997" x14ac:dyDescent="0.3">
      <c r="A109" s="5" t="s">
        <v>178</v>
      </c>
      <c r="B109" s="6" t="s">
        <v>179</v>
      </c>
      <c r="C109" s="7" t="s">
        <v>180</v>
      </c>
      <c r="D109" s="7" t="s">
        <v>42</v>
      </c>
      <c r="E109" s="8">
        <v>21</v>
      </c>
      <c r="F109" s="9">
        <v>79.400000000000006</v>
      </c>
      <c r="G109" s="10">
        <v>200</v>
      </c>
      <c r="H109" s="9" t="s">
        <v>1017</v>
      </c>
      <c r="I109" s="9"/>
      <c r="J109" s="22">
        <f>I109*E109</f>
        <v>0</v>
      </c>
    </row>
    <row r="110" spans="1:10" x14ac:dyDescent="0.3">
      <c r="A110" s="30" t="s">
        <v>181</v>
      </c>
      <c r="B110" s="31" t="s">
        <v>182</v>
      </c>
      <c r="C110" s="30" t="s">
        <v>100</v>
      </c>
      <c r="D110" s="32" t="s">
        <v>183</v>
      </c>
      <c r="E110" s="8">
        <v>25</v>
      </c>
      <c r="F110" s="9">
        <v>102.3</v>
      </c>
      <c r="G110" s="30">
        <v>150</v>
      </c>
      <c r="H110" s="9" t="s">
        <v>1017</v>
      </c>
      <c r="I110" s="9"/>
      <c r="J110" s="22">
        <f>I110*E110</f>
        <v>0</v>
      </c>
    </row>
    <row r="111" spans="1:10" x14ac:dyDescent="0.3">
      <c r="A111" s="5" t="s">
        <v>1084</v>
      </c>
      <c r="B111" s="6" t="s">
        <v>1085</v>
      </c>
      <c r="C111" s="30" t="s">
        <v>184</v>
      </c>
      <c r="D111" s="32" t="s">
        <v>1045</v>
      </c>
      <c r="E111" s="8">
        <v>15.5</v>
      </c>
      <c r="F111" s="9">
        <v>48.16</v>
      </c>
      <c r="G111" s="30">
        <v>400</v>
      </c>
      <c r="H111" s="30" t="s">
        <v>1030</v>
      </c>
      <c r="I111" s="30"/>
      <c r="J111" s="39">
        <v>0</v>
      </c>
    </row>
    <row r="112" spans="1:10" x14ac:dyDescent="0.3">
      <c r="A112" s="5" t="s">
        <v>185</v>
      </c>
      <c r="B112" s="6" t="s">
        <v>186</v>
      </c>
      <c r="C112" s="7" t="s">
        <v>187</v>
      </c>
      <c r="D112" s="7" t="s">
        <v>6</v>
      </c>
      <c r="E112" s="8">
        <v>21.5</v>
      </c>
      <c r="F112" s="9">
        <v>131</v>
      </c>
      <c r="G112" s="10">
        <v>960</v>
      </c>
      <c r="H112" s="9" t="s">
        <v>1017</v>
      </c>
      <c r="I112" s="9"/>
      <c r="J112" s="22">
        <f>I112*E112</f>
        <v>0</v>
      </c>
    </row>
    <row r="113" spans="1:10" x14ac:dyDescent="0.3">
      <c r="A113" s="5" t="s">
        <v>188</v>
      </c>
      <c r="B113" s="6" t="s">
        <v>189</v>
      </c>
      <c r="C113" s="7" t="s">
        <v>187</v>
      </c>
      <c r="D113" s="7" t="s">
        <v>6</v>
      </c>
      <c r="E113" s="8">
        <v>23</v>
      </c>
      <c r="F113" s="9">
        <v>149.69999999999999</v>
      </c>
      <c r="G113" s="10">
        <v>960</v>
      </c>
      <c r="H113" s="9" t="s">
        <v>1017</v>
      </c>
      <c r="I113" s="9"/>
      <c r="J113" s="22">
        <f>I113*E113</f>
        <v>0</v>
      </c>
    </row>
    <row r="114" spans="1:10" x14ac:dyDescent="0.3">
      <c r="A114" s="5" t="s">
        <v>190</v>
      </c>
      <c r="B114" s="6" t="s">
        <v>191</v>
      </c>
      <c r="C114" s="7" t="s">
        <v>187</v>
      </c>
      <c r="D114" s="7" t="s">
        <v>6</v>
      </c>
      <c r="E114" s="8">
        <v>23</v>
      </c>
      <c r="F114" s="9">
        <v>155.96</v>
      </c>
      <c r="G114" s="10">
        <v>960</v>
      </c>
      <c r="H114" s="9" t="s">
        <v>1017</v>
      </c>
      <c r="I114" s="9"/>
      <c r="J114" s="22">
        <f>I114*E114</f>
        <v>0</v>
      </c>
    </row>
    <row r="115" spans="1:10" x14ac:dyDescent="0.3">
      <c r="A115" s="5" t="s">
        <v>192</v>
      </c>
      <c r="B115" s="6" t="s">
        <v>193</v>
      </c>
      <c r="C115" s="7" t="s">
        <v>194</v>
      </c>
      <c r="D115" s="7" t="s">
        <v>6</v>
      </c>
      <c r="E115" s="8">
        <v>24.5</v>
      </c>
      <c r="F115" s="9">
        <v>180.9</v>
      </c>
      <c r="G115" s="10">
        <v>960</v>
      </c>
      <c r="H115" s="9" t="s">
        <v>1017</v>
      </c>
      <c r="I115" s="9"/>
      <c r="J115" s="22">
        <f>I115*E115</f>
        <v>0</v>
      </c>
    </row>
    <row r="116" spans="1:10" x14ac:dyDescent="0.3">
      <c r="A116" s="5" t="s">
        <v>195</v>
      </c>
      <c r="B116" s="6" t="s">
        <v>196</v>
      </c>
      <c r="C116" s="7" t="s">
        <v>197</v>
      </c>
      <c r="D116" s="7" t="s">
        <v>6</v>
      </c>
      <c r="E116" s="8">
        <v>10</v>
      </c>
      <c r="F116" s="9">
        <v>21.73</v>
      </c>
      <c r="G116" s="10">
        <v>1200</v>
      </c>
      <c r="H116" s="9" t="s">
        <v>1017</v>
      </c>
      <c r="I116" s="9"/>
      <c r="J116" s="22">
        <f>I116*E116</f>
        <v>0</v>
      </c>
    </row>
    <row r="117" spans="1:10" x14ac:dyDescent="0.3">
      <c r="A117" s="5" t="s">
        <v>198</v>
      </c>
      <c r="B117" s="6" t="s">
        <v>199</v>
      </c>
      <c r="C117" s="7" t="s">
        <v>200</v>
      </c>
      <c r="D117" s="7" t="s">
        <v>6</v>
      </c>
      <c r="E117" s="8">
        <v>20</v>
      </c>
      <c r="F117" s="9">
        <v>111.37</v>
      </c>
      <c r="G117" s="10">
        <v>400</v>
      </c>
      <c r="H117" s="9" t="s">
        <v>1017</v>
      </c>
      <c r="I117" s="9"/>
      <c r="J117" s="22">
        <f>I117*E117</f>
        <v>0</v>
      </c>
    </row>
    <row r="118" spans="1:10" x14ac:dyDescent="0.3">
      <c r="A118" s="5" t="s">
        <v>201</v>
      </c>
      <c r="B118" s="6" t="s">
        <v>202</v>
      </c>
      <c r="C118" s="7" t="s">
        <v>203</v>
      </c>
      <c r="D118" s="7" t="s">
        <v>6</v>
      </c>
      <c r="E118" s="8">
        <v>31.5</v>
      </c>
      <c r="F118" s="9">
        <v>153.13999999999999</v>
      </c>
      <c r="G118" s="10">
        <v>600</v>
      </c>
      <c r="H118" s="9" t="s">
        <v>1017</v>
      </c>
      <c r="I118" s="9"/>
      <c r="J118" s="22">
        <f>I118*E118</f>
        <v>0</v>
      </c>
    </row>
    <row r="119" spans="1:10" x14ac:dyDescent="0.3">
      <c r="A119" s="5" t="s">
        <v>204</v>
      </c>
      <c r="B119" s="6" t="s">
        <v>205</v>
      </c>
      <c r="C119" s="7" t="s">
        <v>203</v>
      </c>
      <c r="D119" s="7" t="s">
        <v>6</v>
      </c>
      <c r="E119" s="8">
        <v>34</v>
      </c>
      <c r="F119" s="9">
        <v>193.35</v>
      </c>
      <c r="G119" s="10">
        <v>540</v>
      </c>
      <c r="H119" s="9" t="s">
        <v>1017</v>
      </c>
      <c r="I119" s="9"/>
      <c r="J119" s="22">
        <f>I119*E119</f>
        <v>0</v>
      </c>
    </row>
    <row r="120" spans="1:10" x14ac:dyDescent="0.3">
      <c r="A120" s="5" t="s">
        <v>206</v>
      </c>
      <c r="B120" s="6" t="s">
        <v>207</v>
      </c>
      <c r="C120" s="7" t="s">
        <v>208</v>
      </c>
      <c r="D120" s="7" t="s">
        <v>6</v>
      </c>
      <c r="E120" s="8">
        <v>21</v>
      </c>
      <c r="F120" s="9">
        <v>85</v>
      </c>
      <c r="G120" s="10">
        <v>1200</v>
      </c>
      <c r="H120" s="9" t="s">
        <v>1017</v>
      </c>
      <c r="I120" s="9"/>
      <c r="J120" s="22">
        <f>I120*E120</f>
        <v>0</v>
      </c>
    </row>
    <row r="121" spans="1:10" x14ac:dyDescent="0.3">
      <c r="A121" s="5" t="s">
        <v>209</v>
      </c>
      <c r="B121" s="6" t="s">
        <v>210</v>
      </c>
      <c r="C121" s="7" t="s">
        <v>56</v>
      </c>
      <c r="D121" s="7" t="s">
        <v>10</v>
      </c>
      <c r="E121" s="8">
        <v>25.5</v>
      </c>
      <c r="F121" s="9">
        <v>198.5</v>
      </c>
      <c r="G121" s="10">
        <v>600</v>
      </c>
      <c r="H121" s="9" t="s">
        <v>1017</v>
      </c>
      <c r="I121" s="9"/>
      <c r="J121" s="22">
        <f>I121*E121</f>
        <v>0</v>
      </c>
    </row>
    <row r="122" spans="1:10" x14ac:dyDescent="0.3">
      <c r="A122" s="5" t="s">
        <v>211</v>
      </c>
      <c r="B122" s="6" t="s">
        <v>212</v>
      </c>
      <c r="C122" s="7" t="s">
        <v>28</v>
      </c>
      <c r="D122" s="7" t="s">
        <v>10</v>
      </c>
      <c r="E122" s="8">
        <v>40.9</v>
      </c>
      <c r="F122" s="9">
        <v>144.37</v>
      </c>
      <c r="G122" s="10">
        <v>360</v>
      </c>
      <c r="H122" s="9" t="s">
        <v>1017</v>
      </c>
      <c r="I122" s="9"/>
      <c r="J122" s="22">
        <f>I122*E122</f>
        <v>0</v>
      </c>
    </row>
    <row r="123" spans="1:10" x14ac:dyDescent="0.3">
      <c r="A123" s="5" t="s">
        <v>213</v>
      </c>
      <c r="B123" s="6" t="s">
        <v>214</v>
      </c>
      <c r="C123" s="7" t="s">
        <v>28</v>
      </c>
      <c r="D123" s="7" t="s">
        <v>10</v>
      </c>
      <c r="E123" s="8">
        <v>35.75</v>
      </c>
      <c r="F123" s="9">
        <v>147.46</v>
      </c>
      <c r="G123" s="10">
        <v>800</v>
      </c>
      <c r="H123" s="9" t="s">
        <v>1017</v>
      </c>
      <c r="I123" s="9"/>
      <c r="J123" s="22">
        <f>I123*E123</f>
        <v>0</v>
      </c>
    </row>
    <row r="124" spans="1:10" x14ac:dyDescent="0.3">
      <c r="A124" s="24">
        <v>1000885</v>
      </c>
      <c r="B124" s="6" t="s">
        <v>215</v>
      </c>
      <c r="C124" s="26" t="s">
        <v>56</v>
      </c>
      <c r="D124" s="7" t="s">
        <v>10</v>
      </c>
      <c r="E124" s="8">
        <v>51</v>
      </c>
      <c r="F124" s="9">
        <v>283.58999999999997</v>
      </c>
      <c r="G124" s="29">
        <v>720</v>
      </c>
      <c r="H124" s="9" t="s">
        <v>1017</v>
      </c>
      <c r="I124" s="9"/>
      <c r="J124" s="22">
        <f>I124*E124</f>
        <v>0</v>
      </c>
    </row>
    <row r="125" spans="1:10" x14ac:dyDescent="0.3">
      <c r="A125" s="24" t="s">
        <v>1086</v>
      </c>
      <c r="B125" s="6" t="s">
        <v>1087</v>
      </c>
      <c r="C125" s="30" t="s">
        <v>923</v>
      </c>
      <c r="D125" s="32" t="s">
        <v>10</v>
      </c>
      <c r="E125" s="8">
        <v>14.5</v>
      </c>
      <c r="F125" s="9">
        <v>123.52</v>
      </c>
      <c r="G125" s="11">
        <v>1800</v>
      </c>
      <c r="H125" s="30" t="s">
        <v>1030</v>
      </c>
      <c r="I125" s="30"/>
      <c r="J125" s="39">
        <v>0</v>
      </c>
    </row>
    <row r="126" spans="1:10" x14ac:dyDescent="0.3">
      <c r="A126" s="5" t="s">
        <v>1088</v>
      </c>
      <c r="B126" s="6" t="s">
        <v>1089</v>
      </c>
      <c r="C126" s="30" t="s">
        <v>208</v>
      </c>
      <c r="D126" s="32" t="s">
        <v>6</v>
      </c>
      <c r="E126" s="8">
        <v>33</v>
      </c>
      <c r="F126" s="9">
        <v>88.69</v>
      </c>
      <c r="G126" s="30">
        <v>1120</v>
      </c>
      <c r="H126" s="30" t="s">
        <v>1030</v>
      </c>
      <c r="I126" s="30"/>
      <c r="J126" s="39">
        <v>0</v>
      </c>
    </row>
    <row r="127" spans="1:10" x14ac:dyDescent="0.3">
      <c r="A127" s="24" t="s">
        <v>216</v>
      </c>
      <c r="B127" s="25" t="s">
        <v>217</v>
      </c>
      <c r="C127" s="26" t="s">
        <v>19</v>
      </c>
      <c r="D127" s="26" t="s">
        <v>16</v>
      </c>
      <c r="E127" s="8">
        <v>22</v>
      </c>
      <c r="F127" s="9">
        <v>106</v>
      </c>
      <c r="G127" s="29">
        <v>600</v>
      </c>
      <c r="H127" s="9" t="s">
        <v>1017</v>
      </c>
      <c r="I127" s="9"/>
      <c r="J127" s="22">
        <f>I127*E127</f>
        <v>0</v>
      </c>
    </row>
    <row r="128" spans="1:10" x14ac:dyDescent="0.3">
      <c r="A128" s="5" t="s">
        <v>218</v>
      </c>
      <c r="B128" s="6" t="s">
        <v>219</v>
      </c>
      <c r="C128" s="7" t="s">
        <v>9</v>
      </c>
      <c r="D128" s="7" t="s">
        <v>220</v>
      </c>
      <c r="E128" s="8">
        <v>77</v>
      </c>
      <c r="F128" s="9">
        <v>162</v>
      </c>
      <c r="G128" s="10">
        <v>600</v>
      </c>
      <c r="H128" s="9" t="s">
        <v>1017</v>
      </c>
      <c r="I128" s="9"/>
      <c r="J128" s="22">
        <f>I128*E128</f>
        <v>0</v>
      </c>
    </row>
    <row r="129" spans="1:10" ht="37.799999999999997" x14ac:dyDescent="0.3">
      <c r="A129" s="5" t="s">
        <v>221</v>
      </c>
      <c r="B129" s="6" t="s">
        <v>222</v>
      </c>
      <c r="C129" s="7" t="s">
        <v>41</v>
      </c>
      <c r="D129" s="7" t="s">
        <v>42</v>
      </c>
      <c r="E129" s="8">
        <v>66</v>
      </c>
      <c r="F129" s="9">
        <v>237.08</v>
      </c>
      <c r="G129" s="10">
        <v>60</v>
      </c>
      <c r="H129" s="9" t="s">
        <v>1017</v>
      </c>
      <c r="I129" s="9"/>
      <c r="J129" s="22">
        <f>I129*E129</f>
        <v>0</v>
      </c>
    </row>
    <row r="130" spans="1:10" x14ac:dyDescent="0.3">
      <c r="A130" s="5">
        <v>1000675</v>
      </c>
      <c r="B130" s="6" t="s">
        <v>223</v>
      </c>
      <c r="C130" s="7" t="s">
        <v>45</v>
      </c>
      <c r="D130" s="26" t="s">
        <v>46</v>
      </c>
      <c r="E130" s="8">
        <v>82</v>
      </c>
      <c r="F130" s="9">
        <v>216.3</v>
      </c>
      <c r="G130" s="10">
        <v>120</v>
      </c>
      <c r="H130" s="9" t="s">
        <v>1017</v>
      </c>
      <c r="I130" s="9"/>
      <c r="J130" s="22">
        <f>I130*E130</f>
        <v>0</v>
      </c>
    </row>
    <row r="131" spans="1:10" x14ac:dyDescent="0.3">
      <c r="A131" s="5">
        <v>1001332</v>
      </c>
      <c r="B131" s="6" t="s">
        <v>224</v>
      </c>
      <c r="C131" s="7" t="s">
        <v>225</v>
      </c>
      <c r="D131" s="26" t="s">
        <v>6</v>
      </c>
      <c r="E131" s="8">
        <v>14</v>
      </c>
      <c r="F131" s="9">
        <v>67</v>
      </c>
      <c r="G131" s="10">
        <v>960</v>
      </c>
      <c r="H131" s="9" t="s">
        <v>1017</v>
      </c>
      <c r="I131" s="9"/>
      <c r="J131" s="22">
        <f>I131*E131</f>
        <v>0</v>
      </c>
    </row>
    <row r="132" spans="1:10" x14ac:dyDescent="0.3">
      <c r="A132" s="5" t="s">
        <v>226</v>
      </c>
      <c r="B132" s="6" t="s">
        <v>227</v>
      </c>
      <c r="C132" s="26" t="s">
        <v>53</v>
      </c>
      <c r="D132" s="26" t="s">
        <v>10</v>
      </c>
      <c r="E132" s="8">
        <v>22.5</v>
      </c>
      <c r="F132" s="9">
        <v>147.4</v>
      </c>
      <c r="G132" s="10">
        <v>800</v>
      </c>
      <c r="H132" s="9" t="s">
        <v>1017</v>
      </c>
      <c r="I132" s="9"/>
      <c r="J132" s="22">
        <f>I132*E132</f>
        <v>0</v>
      </c>
    </row>
    <row r="133" spans="1:10" x14ac:dyDescent="0.3">
      <c r="A133" s="5" t="s">
        <v>228</v>
      </c>
      <c r="B133" s="6" t="s">
        <v>229</v>
      </c>
      <c r="C133" s="7" t="s">
        <v>28</v>
      </c>
      <c r="D133" s="26" t="s">
        <v>6</v>
      </c>
      <c r="E133" s="8">
        <v>21.5</v>
      </c>
      <c r="F133" s="9">
        <v>125.91</v>
      </c>
      <c r="G133" s="10">
        <v>600</v>
      </c>
      <c r="H133" s="9" t="s">
        <v>1017</v>
      </c>
      <c r="I133" s="9"/>
      <c r="J133" s="22">
        <f>I133*E133</f>
        <v>0</v>
      </c>
    </row>
    <row r="134" spans="1:10" x14ac:dyDescent="0.3">
      <c r="A134" s="24" t="s">
        <v>1090</v>
      </c>
      <c r="B134" s="6" t="s">
        <v>1091</v>
      </c>
      <c r="C134" s="30" t="s">
        <v>194</v>
      </c>
      <c r="D134" s="32" t="s">
        <v>6</v>
      </c>
      <c r="E134" s="8">
        <v>10.5</v>
      </c>
      <c r="F134" s="9">
        <v>100.38</v>
      </c>
      <c r="G134" s="11">
        <v>1260</v>
      </c>
      <c r="H134" s="30" t="s">
        <v>1030</v>
      </c>
      <c r="I134" s="30"/>
      <c r="J134" s="39">
        <v>0</v>
      </c>
    </row>
    <row r="135" spans="1:10" x14ac:dyDescent="0.3">
      <c r="A135" s="5" t="s">
        <v>1092</v>
      </c>
      <c r="B135" s="6" t="s">
        <v>1093</v>
      </c>
      <c r="C135" s="30" t="s">
        <v>208</v>
      </c>
      <c r="D135" s="32" t="s">
        <v>6</v>
      </c>
      <c r="E135" s="8">
        <v>6.75</v>
      </c>
      <c r="F135" s="9">
        <v>73.599999999999994</v>
      </c>
      <c r="G135" s="30">
        <v>1200</v>
      </c>
      <c r="H135" s="30" t="s">
        <v>1030</v>
      </c>
      <c r="I135" s="30"/>
      <c r="J135" s="39">
        <v>0</v>
      </c>
    </row>
    <row r="136" spans="1:10" x14ac:dyDescent="0.3">
      <c r="A136" s="5" t="s">
        <v>230</v>
      </c>
      <c r="B136" s="6" t="s">
        <v>231</v>
      </c>
      <c r="C136" s="7" t="s">
        <v>53</v>
      </c>
      <c r="D136" s="7" t="s">
        <v>10</v>
      </c>
      <c r="E136" s="8">
        <v>12</v>
      </c>
      <c r="F136" s="9">
        <v>73.599999999999994</v>
      </c>
      <c r="G136" s="10">
        <v>800</v>
      </c>
      <c r="H136" s="9" t="s">
        <v>1017</v>
      </c>
      <c r="I136" s="9"/>
      <c r="J136" s="22">
        <f>I136*E136</f>
        <v>0</v>
      </c>
    </row>
    <row r="137" spans="1:10" x14ac:dyDescent="0.3">
      <c r="A137" s="5" t="s">
        <v>1094</v>
      </c>
      <c r="B137" s="6" t="s">
        <v>1095</v>
      </c>
      <c r="C137" s="30" t="s">
        <v>24</v>
      </c>
      <c r="D137" s="32" t="s">
        <v>109</v>
      </c>
      <c r="E137" s="8">
        <v>12</v>
      </c>
      <c r="F137" s="9">
        <v>134</v>
      </c>
      <c r="G137" s="30">
        <v>960</v>
      </c>
      <c r="H137" s="30" t="s">
        <v>1030</v>
      </c>
      <c r="I137" s="30"/>
      <c r="J137" s="39">
        <v>0</v>
      </c>
    </row>
    <row r="138" spans="1:10" x14ac:dyDescent="0.3">
      <c r="A138" s="5" t="s">
        <v>232</v>
      </c>
      <c r="B138" s="6" t="s">
        <v>233</v>
      </c>
      <c r="C138" s="7" t="s">
        <v>56</v>
      </c>
      <c r="D138" s="7" t="s">
        <v>10</v>
      </c>
      <c r="E138" s="8">
        <v>62.5</v>
      </c>
      <c r="F138" s="9">
        <v>158.81</v>
      </c>
      <c r="G138" s="10">
        <v>480</v>
      </c>
      <c r="H138" s="9" t="s">
        <v>1017</v>
      </c>
      <c r="I138" s="9"/>
      <c r="J138" s="22">
        <f>I138*E138</f>
        <v>0</v>
      </c>
    </row>
    <row r="139" spans="1:10" x14ac:dyDescent="0.3">
      <c r="A139" s="5" t="s">
        <v>234</v>
      </c>
      <c r="B139" s="6" t="s">
        <v>235</v>
      </c>
      <c r="C139" s="7" t="s">
        <v>56</v>
      </c>
      <c r="D139" s="7" t="s">
        <v>10</v>
      </c>
      <c r="E139" s="8">
        <v>105</v>
      </c>
      <c r="F139" s="9">
        <v>255.23</v>
      </c>
      <c r="G139" s="10">
        <v>480</v>
      </c>
      <c r="H139" s="9" t="s">
        <v>1017</v>
      </c>
      <c r="I139" s="9"/>
      <c r="J139" s="22">
        <f>I139*E139</f>
        <v>0</v>
      </c>
    </row>
    <row r="140" spans="1:10" x14ac:dyDescent="0.3">
      <c r="A140" s="5" t="s">
        <v>236</v>
      </c>
      <c r="B140" s="6" t="s">
        <v>237</v>
      </c>
      <c r="C140" s="7" t="s">
        <v>24</v>
      </c>
      <c r="D140" s="7" t="s">
        <v>10</v>
      </c>
      <c r="E140" s="8">
        <v>11.5</v>
      </c>
      <c r="F140" s="9">
        <v>81.099999999999994</v>
      </c>
      <c r="G140" s="10">
        <v>1200</v>
      </c>
      <c r="H140" s="9" t="s">
        <v>1017</v>
      </c>
      <c r="I140" s="9"/>
      <c r="J140" s="22">
        <f>I140*E140</f>
        <v>0</v>
      </c>
    </row>
    <row r="141" spans="1:10" x14ac:dyDescent="0.3">
      <c r="A141" s="5" t="s">
        <v>238</v>
      </c>
      <c r="B141" s="6" t="s">
        <v>239</v>
      </c>
      <c r="C141" s="7" t="s">
        <v>240</v>
      </c>
      <c r="D141" s="7" t="s">
        <v>6</v>
      </c>
      <c r="E141" s="8">
        <v>9</v>
      </c>
      <c r="F141" s="9">
        <v>66.900000000000006</v>
      </c>
      <c r="G141" s="10">
        <v>1620</v>
      </c>
      <c r="H141" s="9" t="s">
        <v>1017</v>
      </c>
      <c r="I141" s="9"/>
      <c r="J141" s="22">
        <f>I141*E141</f>
        <v>0</v>
      </c>
    </row>
    <row r="142" spans="1:10" x14ac:dyDescent="0.3">
      <c r="A142" s="5" t="s">
        <v>241</v>
      </c>
      <c r="B142" s="6" t="s">
        <v>242</v>
      </c>
      <c r="C142" s="7" t="s">
        <v>56</v>
      </c>
      <c r="D142" s="7" t="s">
        <v>220</v>
      </c>
      <c r="E142" s="8">
        <v>27.5</v>
      </c>
      <c r="F142" s="9">
        <v>158.81</v>
      </c>
      <c r="G142" s="10">
        <v>300</v>
      </c>
      <c r="H142" s="9" t="s">
        <v>1017</v>
      </c>
      <c r="I142" s="9"/>
      <c r="J142" s="22">
        <f>I142*E142</f>
        <v>0</v>
      </c>
    </row>
    <row r="143" spans="1:10" x14ac:dyDescent="0.3">
      <c r="A143" s="5" t="s">
        <v>243</v>
      </c>
      <c r="B143" s="6" t="s">
        <v>244</v>
      </c>
      <c r="C143" s="7" t="s">
        <v>56</v>
      </c>
      <c r="D143" s="7" t="s">
        <v>10</v>
      </c>
      <c r="E143" s="8">
        <v>110</v>
      </c>
      <c r="F143" s="9">
        <v>266.57</v>
      </c>
      <c r="G143" s="10">
        <v>400</v>
      </c>
      <c r="H143" s="9" t="s">
        <v>1017</v>
      </c>
      <c r="I143" s="9"/>
      <c r="J143" s="22">
        <f>I143*E143</f>
        <v>0</v>
      </c>
    </row>
    <row r="144" spans="1:10" x14ac:dyDescent="0.3">
      <c r="A144" s="5" t="s">
        <v>245</v>
      </c>
      <c r="B144" s="6" t="s">
        <v>246</v>
      </c>
      <c r="C144" s="7" t="s">
        <v>53</v>
      </c>
      <c r="D144" s="7" t="s">
        <v>10</v>
      </c>
      <c r="E144" s="8">
        <v>6.5</v>
      </c>
      <c r="F144" s="9">
        <v>78.27</v>
      </c>
      <c r="G144" s="10">
        <v>1800</v>
      </c>
      <c r="H144" s="9" t="s">
        <v>1017</v>
      </c>
      <c r="I144" s="9"/>
      <c r="J144" s="22">
        <f>I144*E144</f>
        <v>0</v>
      </c>
    </row>
    <row r="145" spans="1:10" x14ac:dyDescent="0.3">
      <c r="A145" s="5" t="s">
        <v>249</v>
      </c>
      <c r="B145" s="6" t="s">
        <v>250</v>
      </c>
      <c r="C145" s="7" t="s">
        <v>24</v>
      </c>
      <c r="D145" s="7" t="s">
        <v>10</v>
      </c>
      <c r="E145" s="8">
        <v>17.5</v>
      </c>
      <c r="F145" s="9">
        <v>102.9</v>
      </c>
      <c r="G145" s="10">
        <v>800</v>
      </c>
      <c r="H145" s="9" t="s">
        <v>1017</v>
      </c>
      <c r="I145" s="9"/>
      <c r="J145" s="22">
        <f>I145*E145</f>
        <v>0</v>
      </c>
    </row>
    <row r="146" spans="1:10" x14ac:dyDescent="0.3">
      <c r="A146" s="5" t="s">
        <v>251</v>
      </c>
      <c r="B146" s="6" t="s">
        <v>252</v>
      </c>
      <c r="C146" s="7" t="s">
        <v>53</v>
      </c>
      <c r="D146" s="7" t="s">
        <v>10</v>
      </c>
      <c r="E146" s="8">
        <v>18.5</v>
      </c>
      <c r="F146" s="9">
        <v>115.7</v>
      </c>
      <c r="G146" s="10">
        <v>900</v>
      </c>
      <c r="H146" s="9" t="s">
        <v>1017</v>
      </c>
      <c r="I146" s="9"/>
      <c r="J146" s="22">
        <f>I146*E146</f>
        <v>0</v>
      </c>
    </row>
    <row r="147" spans="1:10" x14ac:dyDescent="0.3">
      <c r="A147" s="5" t="s">
        <v>253</v>
      </c>
      <c r="B147" s="6" t="s">
        <v>254</v>
      </c>
      <c r="C147" s="7" t="s">
        <v>53</v>
      </c>
      <c r="D147" s="7" t="s">
        <v>10</v>
      </c>
      <c r="E147" s="8">
        <v>17.5</v>
      </c>
      <c r="F147" s="9">
        <v>99.82</v>
      </c>
      <c r="G147" s="10">
        <v>1200</v>
      </c>
      <c r="H147" s="9" t="s">
        <v>1017</v>
      </c>
      <c r="I147" s="9"/>
      <c r="J147" s="22">
        <f>I147*E147</f>
        <v>0</v>
      </c>
    </row>
    <row r="148" spans="1:10" x14ac:dyDescent="0.3">
      <c r="A148" s="5" t="s">
        <v>255</v>
      </c>
      <c r="B148" s="6" t="s">
        <v>256</v>
      </c>
      <c r="C148" s="7" t="s">
        <v>56</v>
      </c>
      <c r="D148" s="7" t="s">
        <v>10</v>
      </c>
      <c r="E148" s="8">
        <v>68</v>
      </c>
      <c r="F148" s="9">
        <v>221.2</v>
      </c>
      <c r="G148" s="10">
        <v>400</v>
      </c>
      <c r="H148" s="9" t="s">
        <v>1017</v>
      </c>
      <c r="I148" s="9"/>
      <c r="J148" s="22">
        <f>I148*E148</f>
        <v>0</v>
      </c>
    </row>
    <row r="149" spans="1:10" x14ac:dyDescent="0.3">
      <c r="A149" s="5" t="s">
        <v>257</v>
      </c>
      <c r="B149" s="6" t="s">
        <v>258</v>
      </c>
      <c r="C149" s="7" t="s">
        <v>208</v>
      </c>
      <c r="D149" s="7" t="s">
        <v>6</v>
      </c>
      <c r="E149" s="8">
        <v>6.5</v>
      </c>
      <c r="F149" s="9">
        <v>77.13</v>
      </c>
      <c r="G149" s="10">
        <v>1400</v>
      </c>
      <c r="H149" s="9" t="s">
        <v>1017</v>
      </c>
      <c r="I149" s="9"/>
      <c r="J149" s="22">
        <f>I149*E149</f>
        <v>0</v>
      </c>
    </row>
    <row r="150" spans="1:10" x14ac:dyDescent="0.3">
      <c r="A150" s="5" t="s">
        <v>259</v>
      </c>
      <c r="B150" s="6" t="s">
        <v>260</v>
      </c>
      <c r="C150" s="7" t="s">
        <v>56</v>
      </c>
      <c r="D150" s="7" t="s">
        <v>10</v>
      </c>
      <c r="E150" s="8">
        <v>85</v>
      </c>
      <c r="F150" s="9">
        <v>431.06</v>
      </c>
      <c r="G150" s="10">
        <v>720</v>
      </c>
      <c r="H150" s="9" t="s">
        <v>1017</v>
      </c>
      <c r="I150" s="9"/>
      <c r="J150" s="22">
        <f>I150*E150</f>
        <v>0</v>
      </c>
    </row>
    <row r="151" spans="1:10" ht="37.799999999999997" x14ac:dyDescent="0.3">
      <c r="A151" s="5">
        <v>1000478</v>
      </c>
      <c r="B151" s="6" t="s">
        <v>261</v>
      </c>
      <c r="C151" s="7" t="s">
        <v>50</v>
      </c>
      <c r="D151" s="7" t="s">
        <v>42</v>
      </c>
      <c r="E151" s="8">
        <v>22</v>
      </c>
      <c r="F151" s="9">
        <v>73.52</v>
      </c>
      <c r="G151" s="10">
        <v>200</v>
      </c>
      <c r="H151" s="9" t="s">
        <v>1017</v>
      </c>
      <c r="I151" s="9"/>
      <c r="J151" s="22">
        <f>I151*E151</f>
        <v>0</v>
      </c>
    </row>
    <row r="152" spans="1:10" x14ac:dyDescent="0.3">
      <c r="A152" s="5" t="s">
        <v>262</v>
      </c>
      <c r="B152" s="6" t="s">
        <v>263</v>
      </c>
      <c r="C152" s="7" t="s">
        <v>56</v>
      </c>
      <c r="D152" s="7" t="s">
        <v>10</v>
      </c>
      <c r="E152" s="8">
        <v>19</v>
      </c>
      <c r="F152" s="9">
        <v>123.52</v>
      </c>
      <c r="G152" s="10">
        <v>720</v>
      </c>
      <c r="H152" s="9" t="s">
        <v>1017</v>
      </c>
      <c r="I152" s="9"/>
      <c r="J152" s="22">
        <f>I152*E152</f>
        <v>0</v>
      </c>
    </row>
    <row r="153" spans="1:10" x14ac:dyDescent="0.3">
      <c r="A153" s="5" t="s">
        <v>264</v>
      </c>
      <c r="B153" s="6" t="s">
        <v>265</v>
      </c>
      <c r="C153" s="7" t="s">
        <v>56</v>
      </c>
      <c r="D153" s="7" t="s">
        <v>6</v>
      </c>
      <c r="E153" s="8">
        <v>125</v>
      </c>
      <c r="F153" s="9">
        <v>641.25</v>
      </c>
      <c r="G153" s="10">
        <v>360</v>
      </c>
      <c r="H153" s="9" t="s">
        <v>1017</v>
      </c>
      <c r="I153" s="9"/>
      <c r="J153" s="22">
        <f>I153*E153</f>
        <v>0</v>
      </c>
    </row>
    <row r="154" spans="1:10" x14ac:dyDescent="0.3">
      <c r="A154" s="5" t="s">
        <v>266</v>
      </c>
      <c r="B154" s="6" t="s">
        <v>267</v>
      </c>
      <c r="C154" s="7" t="s">
        <v>53</v>
      </c>
      <c r="D154" s="7" t="s">
        <v>268</v>
      </c>
      <c r="E154" s="8">
        <v>22</v>
      </c>
      <c r="F154" s="9">
        <v>119.1</v>
      </c>
      <c r="G154" s="10">
        <v>1400</v>
      </c>
      <c r="H154" s="9" t="s">
        <v>1017</v>
      </c>
      <c r="I154" s="9"/>
      <c r="J154" s="22">
        <f>I154*E154</f>
        <v>0</v>
      </c>
    </row>
    <row r="155" spans="1:10" x14ac:dyDescent="0.3">
      <c r="A155" s="5" t="s">
        <v>269</v>
      </c>
      <c r="B155" s="6" t="s">
        <v>270</v>
      </c>
      <c r="C155" s="26" t="s">
        <v>24</v>
      </c>
      <c r="D155" s="26" t="s">
        <v>220</v>
      </c>
      <c r="E155" s="8">
        <v>38</v>
      </c>
      <c r="F155" s="9">
        <v>136</v>
      </c>
      <c r="G155" s="29">
        <v>540</v>
      </c>
      <c r="H155" s="9" t="s">
        <v>1017</v>
      </c>
      <c r="I155" s="9"/>
      <c r="J155" s="22">
        <f>I155*E155</f>
        <v>0</v>
      </c>
    </row>
    <row r="156" spans="1:10" x14ac:dyDescent="0.3">
      <c r="A156" s="5" t="s">
        <v>271</v>
      </c>
      <c r="B156" s="6" t="s">
        <v>272</v>
      </c>
      <c r="C156" s="7" t="s">
        <v>28</v>
      </c>
      <c r="D156" s="7" t="s">
        <v>6</v>
      </c>
      <c r="E156" s="8">
        <v>21</v>
      </c>
      <c r="F156" s="9">
        <v>79.400000000000006</v>
      </c>
      <c r="G156" s="10">
        <v>1440</v>
      </c>
      <c r="H156" s="9" t="s">
        <v>1017</v>
      </c>
      <c r="I156" s="9"/>
      <c r="J156" s="22">
        <f>I156*E156</f>
        <v>0</v>
      </c>
    </row>
    <row r="157" spans="1:10" x14ac:dyDescent="0.3">
      <c r="A157" s="32" t="s">
        <v>935</v>
      </c>
      <c r="B157" s="6" t="s">
        <v>273</v>
      </c>
      <c r="C157" s="32" t="s">
        <v>938</v>
      </c>
      <c r="D157" s="7" t="s">
        <v>92</v>
      </c>
      <c r="E157" s="8">
        <v>35</v>
      </c>
      <c r="F157" s="9">
        <v>117.15</v>
      </c>
      <c r="G157" s="30">
        <v>480</v>
      </c>
      <c r="H157" s="9" t="s">
        <v>1017</v>
      </c>
      <c r="I157" s="9"/>
      <c r="J157" s="22">
        <f>I157*E157</f>
        <v>0</v>
      </c>
    </row>
    <row r="158" spans="1:10" x14ac:dyDescent="0.3">
      <c r="A158" s="32" t="s">
        <v>936</v>
      </c>
      <c r="B158" s="6" t="s">
        <v>274</v>
      </c>
      <c r="C158" s="32" t="s">
        <v>430</v>
      </c>
      <c r="D158" s="7" t="s">
        <v>275</v>
      </c>
      <c r="E158" s="8">
        <v>34.5</v>
      </c>
      <c r="F158" s="9">
        <v>91.4</v>
      </c>
      <c r="G158" s="30">
        <v>480</v>
      </c>
      <c r="H158" s="9" t="s">
        <v>1017</v>
      </c>
      <c r="I158" s="9"/>
      <c r="J158" s="22">
        <f>I158*E158</f>
        <v>0</v>
      </c>
    </row>
    <row r="159" spans="1:10" x14ac:dyDescent="0.3">
      <c r="A159" s="5">
        <v>1001051</v>
      </c>
      <c r="B159" s="6" t="s">
        <v>1096</v>
      </c>
      <c r="C159" s="30" t="s">
        <v>276</v>
      </c>
      <c r="D159" s="32" t="s">
        <v>6</v>
      </c>
      <c r="E159" s="8">
        <v>85</v>
      </c>
      <c r="F159" s="9">
        <v>529.67999999999995</v>
      </c>
      <c r="G159" s="30">
        <v>720</v>
      </c>
      <c r="H159" s="30" t="s">
        <v>1030</v>
      </c>
      <c r="I159" s="30"/>
      <c r="J159" s="39">
        <v>0</v>
      </c>
    </row>
    <row r="160" spans="1:10" x14ac:dyDescent="0.3">
      <c r="A160" s="5" t="s">
        <v>277</v>
      </c>
      <c r="B160" s="6" t="s">
        <v>278</v>
      </c>
      <c r="C160" s="7" t="s">
        <v>53</v>
      </c>
      <c r="D160" s="7" t="s">
        <v>220</v>
      </c>
      <c r="E160" s="8">
        <v>8</v>
      </c>
      <c r="F160" s="9">
        <v>73.73</v>
      </c>
      <c r="G160" s="10">
        <v>1600</v>
      </c>
      <c r="H160" s="9" t="s">
        <v>1017</v>
      </c>
      <c r="I160" s="9"/>
      <c r="J160" s="22">
        <f>I160*E160</f>
        <v>0</v>
      </c>
    </row>
    <row r="161" spans="1:10" x14ac:dyDescent="0.3">
      <c r="A161" s="30">
        <v>1000420</v>
      </c>
      <c r="B161" s="31" t="s">
        <v>279</v>
      </c>
      <c r="C161" s="30" t="s">
        <v>184</v>
      </c>
      <c r="D161" s="32" t="s">
        <v>92</v>
      </c>
      <c r="E161" s="8">
        <v>12</v>
      </c>
      <c r="F161" s="9">
        <v>47.4</v>
      </c>
      <c r="G161" s="30">
        <v>1500</v>
      </c>
      <c r="H161" s="9" t="s">
        <v>1017</v>
      </c>
      <c r="I161" s="9"/>
      <c r="J161" s="22">
        <f>I161*E161</f>
        <v>0</v>
      </c>
    </row>
    <row r="162" spans="1:10" x14ac:dyDescent="0.3">
      <c r="A162" s="5">
        <v>1001328</v>
      </c>
      <c r="B162" s="6" t="s">
        <v>280</v>
      </c>
      <c r="C162" s="7" t="s">
        <v>56</v>
      </c>
      <c r="D162" s="7" t="s">
        <v>6</v>
      </c>
      <c r="E162" s="8">
        <v>44.5</v>
      </c>
      <c r="F162" s="9">
        <v>268</v>
      </c>
      <c r="G162" s="10">
        <v>880</v>
      </c>
      <c r="H162" s="9" t="s">
        <v>1017</v>
      </c>
      <c r="I162" s="9"/>
      <c r="J162" s="22">
        <f>I162*E162</f>
        <v>0</v>
      </c>
    </row>
    <row r="163" spans="1:10" x14ac:dyDescent="0.3">
      <c r="A163" s="5">
        <v>1001327</v>
      </c>
      <c r="B163" s="6" t="s">
        <v>281</v>
      </c>
      <c r="C163" s="7" t="s">
        <v>56</v>
      </c>
      <c r="D163" s="7" t="s">
        <v>6</v>
      </c>
      <c r="E163" s="8">
        <v>44</v>
      </c>
      <c r="F163" s="9">
        <v>247.5</v>
      </c>
      <c r="G163" s="10">
        <v>700</v>
      </c>
      <c r="H163" s="9" t="s">
        <v>1017</v>
      </c>
      <c r="I163" s="9"/>
      <c r="J163" s="22">
        <f>I163*E163</f>
        <v>0</v>
      </c>
    </row>
    <row r="164" spans="1:10" x14ac:dyDescent="0.3">
      <c r="A164" s="5" t="s">
        <v>946</v>
      </c>
      <c r="B164" s="6" t="s">
        <v>943</v>
      </c>
      <c r="C164" s="7" t="s">
        <v>9</v>
      </c>
      <c r="D164" s="32" t="s">
        <v>6</v>
      </c>
      <c r="E164" s="8">
        <v>70</v>
      </c>
      <c r="F164" s="9">
        <v>350.62</v>
      </c>
      <c r="G164" s="10">
        <v>720</v>
      </c>
      <c r="H164" s="9" t="s">
        <v>1017</v>
      </c>
      <c r="I164" s="9"/>
      <c r="J164" s="22">
        <f>I164*E164</f>
        <v>0</v>
      </c>
    </row>
    <row r="165" spans="1:10" x14ac:dyDescent="0.3">
      <c r="A165" s="5" t="s">
        <v>947</v>
      </c>
      <c r="B165" s="6" t="s">
        <v>944</v>
      </c>
      <c r="C165" s="7" t="s">
        <v>9</v>
      </c>
      <c r="D165" s="32" t="s">
        <v>6</v>
      </c>
      <c r="E165" s="8">
        <v>18.5</v>
      </c>
      <c r="F165" s="9">
        <v>67.3</v>
      </c>
      <c r="G165" s="10">
        <v>1050</v>
      </c>
      <c r="H165" s="9" t="s">
        <v>1017</v>
      </c>
      <c r="I165" s="9"/>
      <c r="J165" s="22">
        <f>I165*E165</f>
        <v>0</v>
      </c>
    </row>
    <row r="166" spans="1:10" x14ac:dyDescent="0.3">
      <c r="A166" s="5" t="s">
        <v>924</v>
      </c>
      <c r="B166" s="6" t="s">
        <v>925</v>
      </c>
      <c r="C166" s="30" t="s">
        <v>923</v>
      </c>
      <c r="D166" s="32" t="s">
        <v>6</v>
      </c>
      <c r="E166" s="8">
        <v>26.5</v>
      </c>
      <c r="F166" s="9">
        <v>139.65</v>
      </c>
      <c r="G166" s="10">
        <v>600</v>
      </c>
      <c r="H166" s="9" t="s">
        <v>1017</v>
      </c>
      <c r="I166" s="9"/>
      <c r="J166" s="22">
        <f>I166*E166</f>
        <v>0</v>
      </c>
    </row>
    <row r="167" spans="1:10" x14ac:dyDescent="0.3">
      <c r="A167" s="5" t="s">
        <v>948</v>
      </c>
      <c r="B167" s="6" t="s">
        <v>945</v>
      </c>
      <c r="C167" s="7" t="s">
        <v>9</v>
      </c>
      <c r="D167" s="32" t="s">
        <v>6</v>
      </c>
      <c r="E167" s="8">
        <v>60</v>
      </c>
      <c r="F167" s="9">
        <v>196.77</v>
      </c>
      <c r="G167" s="10">
        <v>720</v>
      </c>
      <c r="H167" s="9" t="s">
        <v>1017</v>
      </c>
      <c r="I167" s="9"/>
      <c r="J167" s="22">
        <f>I167*E167</f>
        <v>0</v>
      </c>
    </row>
    <row r="168" spans="1:10" x14ac:dyDescent="0.3">
      <c r="A168" s="30" t="s">
        <v>282</v>
      </c>
      <c r="B168" s="6" t="s">
        <v>283</v>
      </c>
      <c r="C168" s="26" t="s">
        <v>9</v>
      </c>
      <c r="D168" s="26" t="s">
        <v>91</v>
      </c>
      <c r="E168" s="8">
        <v>36</v>
      </c>
      <c r="F168" s="9">
        <v>173.67</v>
      </c>
      <c r="G168" s="11">
        <v>360</v>
      </c>
      <c r="H168" s="9" t="s">
        <v>1017</v>
      </c>
      <c r="I168" s="9"/>
      <c r="J168" s="22">
        <f>I168*E168</f>
        <v>0</v>
      </c>
    </row>
    <row r="169" spans="1:10" x14ac:dyDescent="0.3">
      <c r="A169" s="5">
        <v>1001522</v>
      </c>
      <c r="B169" s="6" t="s">
        <v>1018</v>
      </c>
      <c r="C169" s="7" t="s">
        <v>106</v>
      </c>
      <c r="D169" s="7" t="s">
        <v>10</v>
      </c>
      <c r="E169" s="8">
        <v>18</v>
      </c>
      <c r="F169" s="9">
        <v>197</v>
      </c>
      <c r="G169" s="29">
        <v>1200</v>
      </c>
      <c r="H169" s="9" t="s">
        <v>1017</v>
      </c>
      <c r="I169" s="9"/>
      <c r="J169" s="22">
        <f>I169*E169</f>
        <v>0</v>
      </c>
    </row>
    <row r="170" spans="1:10" x14ac:dyDescent="0.3">
      <c r="A170" s="5" t="s">
        <v>284</v>
      </c>
      <c r="B170" s="6" t="s">
        <v>285</v>
      </c>
      <c r="C170" s="7" t="s">
        <v>56</v>
      </c>
      <c r="D170" s="7" t="s">
        <v>10</v>
      </c>
      <c r="E170" s="8">
        <v>23</v>
      </c>
      <c r="F170" s="9">
        <v>172.15</v>
      </c>
      <c r="G170" s="10">
        <v>400</v>
      </c>
      <c r="H170" s="9" t="s">
        <v>1017</v>
      </c>
      <c r="I170" s="9"/>
      <c r="J170" s="22">
        <f>I170*E170</f>
        <v>0</v>
      </c>
    </row>
    <row r="171" spans="1:10" x14ac:dyDescent="0.3">
      <c r="A171" s="5" t="s">
        <v>286</v>
      </c>
      <c r="B171" s="6" t="s">
        <v>287</v>
      </c>
      <c r="C171" s="7" t="s">
        <v>56</v>
      </c>
      <c r="D171" s="7" t="s">
        <v>10</v>
      </c>
      <c r="E171" s="8">
        <v>34.5</v>
      </c>
      <c r="F171" s="9">
        <v>215.53</v>
      </c>
      <c r="G171" s="10">
        <v>300</v>
      </c>
      <c r="H171" s="9" t="s">
        <v>1017</v>
      </c>
      <c r="I171" s="9"/>
      <c r="J171" s="22">
        <f>I171*E171</f>
        <v>0</v>
      </c>
    </row>
    <row r="172" spans="1:10" x14ac:dyDescent="0.3">
      <c r="A172" s="5" t="s">
        <v>1097</v>
      </c>
      <c r="B172" s="6" t="s">
        <v>1098</v>
      </c>
      <c r="C172" s="11" t="s">
        <v>56</v>
      </c>
      <c r="D172" s="13" t="s">
        <v>1099</v>
      </c>
      <c r="E172" s="8">
        <v>250</v>
      </c>
      <c r="F172" s="9">
        <v>979.68</v>
      </c>
      <c r="G172" s="11">
        <v>360</v>
      </c>
      <c r="H172" s="30" t="s">
        <v>1030</v>
      </c>
      <c r="I172" s="30"/>
      <c r="J172" s="39">
        <v>0</v>
      </c>
    </row>
    <row r="173" spans="1:10" x14ac:dyDescent="0.3">
      <c r="A173" s="5" t="s">
        <v>1100</v>
      </c>
      <c r="B173" s="6" t="s">
        <v>1101</v>
      </c>
      <c r="C173" s="30" t="s">
        <v>21</v>
      </c>
      <c r="D173" s="32" t="s">
        <v>288</v>
      </c>
      <c r="E173" s="8">
        <v>300</v>
      </c>
      <c r="F173" s="9">
        <v>1335.93</v>
      </c>
      <c r="G173" s="30">
        <v>360</v>
      </c>
      <c r="H173" s="30" t="s">
        <v>1030</v>
      </c>
      <c r="I173" s="30"/>
      <c r="J173" s="39">
        <v>0</v>
      </c>
    </row>
    <row r="174" spans="1:10" ht="25.2" x14ac:dyDescent="0.3">
      <c r="A174" s="30">
        <v>1001056</v>
      </c>
      <c r="B174" s="31" t="s">
        <v>1102</v>
      </c>
      <c r="C174" s="30" t="s">
        <v>968</v>
      </c>
      <c r="D174" s="32" t="s">
        <v>51</v>
      </c>
      <c r="E174" s="8">
        <v>65</v>
      </c>
      <c r="F174" s="9">
        <v>319.68</v>
      </c>
      <c r="G174" s="30">
        <v>162</v>
      </c>
      <c r="H174" s="30" t="s">
        <v>1030</v>
      </c>
      <c r="I174" s="30"/>
      <c r="J174" s="39">
        <v>0</v>
      </c>
    </row>
    <row r="175" spans="1:10" x14ac:dyDescent="0.3">
      <c r="A175" s="5" t="s">
        <v>289</v>
      </c>
      <c r="B175" s="6" t="s">
        <v>290</v>
      </c>
      <c r="C175" s="7" t="s">
        <v>56</v>
      </c>
      <c r="D175" s="7" t="s">
        <v>10</v>
      </c>
      <c r="E175" s="8">
        <v>21.5</v>
      </c>
      <c r="F175" s="9">
        <v>129.6</v>
      </c>
      <c r="G175" s="10">
        <v>600</v>
      </c>
      <c r="H175" s="9" t="s">
        <v>1017</v>
      </c>
      <c r="I175" s="9"/>
      <c r="J175" s="22">
        <f>I175*E175</f>
        <v>0</v>
      </c>
    </row>
    <row r="176" spans="1:10" x14ac:dyDescent="0.3">
      <c r="A176" s="5" t="s">
        <v>291</v>
      </c>
      <c r="B176" s="6" t="s">
        <v>292</v>
      </c>
      <c r="C176" s="7" t="s">
        <v>56</v>
      </c>
      <c r="D176" s="7" t="s">
        <v>10</v>
      </c>
      <c r="E176" s="8">
        <v>32.5</v>
      </c>
      <c r="F176" s="9">
        <v>181.5</v>
      </c>
      <c r="G176" s="10">
        <v>600</v>
      </c>
      <c r="H176" s="9" t="s">
        <v>1017</v>
      </c>
      <c r="I176" s="9"/>
      <c r="J176" s="22">
        <f>I176*E176</f>
        <v>0</v>
      </c>
    </row>
    <row r="177" spans="1:10" ht="37.799999999999997" x14ac:dyDescent="0.3">
      <c r="A177" s="5" t="s">
        <v>1103</v>
      </c>
      <c r="B177" s="6" t="s">
        <v>1104</v>
      </c>
      <c r="C177" s="30" t="s">
        <v>293</v>
      </c>
      <c r="D177" s="32" t="s">
        <v>42</v>
      </c>
      <c r="E177" s="8">
        <v>12</v>
      </c>
      <c r="F177" s="9">
        <v>34.1</v>
      </c>
      <c r="G177" s="30">
        <v>300</v>
      </c>
      <c r="H177" s="30" t="s">
        <v>1030</v>
      </c>
      <c r="I177" s="30"/>
      <c r="J177" s="39">
        <v>0</v>
      </c>
    </row>
    <row r="178" spans="1:10" x14ac:dyDescent="0.3">
      <c r="A178" s="5" t="s">
        <v>1105</v>
      </c>
      <c r="B178" s="6" t="s">
        <v>1106</v>
      </c>
      <c r="C178" s="30" t="s">
        <v>180</v>
      </c>
      <c r="D178" s="32" t="s">
        <v>129</v>
      </c>
      <c r="E178" s="8">
        <v>13</v>
      </c>
      <c r="F178" s="9">
        <v>42.83</v>
      </c>
      <c r="G178" s="30">
        <v>200</v>
      </c>
      <c r="H178" s="30" t="s">
        <v>1030</v>
      </c>
      <c r="I178" s="30"/>
      <c r="J178" s="39">
        <v>0</v>
      </c>
    </row>
    <row r="179" spans="1:10" x14ac:dyDescent="0.3">
      <c r="A179" s="5" t="s">
        <v>1107</v>
      </c>
      <c r="B179" s="6" t="s">
        <v>1108</v>
      </c>
      <c r="C179" s="30" t="s">
        <v>1109</v>
      </c>
      <c r="D179" s="32" t="s">
        <v>6</v>
      </c>
      <c r="E179" s="8">
        <v>5.25</v>
      </c>
      <c r="F179" s="9">
        <v>9.76</v>
      </c>
      <c r="G179" s="30">
        <v>1500</v>
      </c>
      <c r="H179" s="30" t="s">
        <v>1030</v>
      </c>
      <c r="I179" s="30"/>
      <c r="J179" s="39">
        <v>0</v>
      </c>
    </row>
    <row r="180" spans="1:10" x14ac:dyDescent="0.3">
      <c r="A180" s="5" t="s">
        <v>1110</v>
      </c>
      <c r="B180" s="6" t="s">
        <v>1111</v>
      </c>
      <c r="C180" s="30" t="s">
        <v>187</v>
      </c>
      <c r="D180" s="32" t="s">
        <v>6</v>
      </c>
      <c r="E180" s="8">
        <v>12</v>
      </c>
      <c r="F180" s="9">
        <v>32.28</v>
      </c>
      <c r="G180" s="30">
        <v>960</v>
      </c>
      <c r="H180" s="30" t="s">
        <v>1030</v>
      </c>
      <c r="I180" s="30"/>
      <c r="J180" s="39">
        <v>0</v>
      </c>
    </row>
    <row r="181" spans="1:10" x14ac:dyDescent="0.3">
      <c r="A181" s="5" t="s">
        <v>294</v>
      </c>
      <c r="B181" s="6" t="s">
        <v>295</v>
      </c>
      <c r="C181" s="7" t="s">
        <v>296</v>
      </c>
      <c r="D181" s="7" t="s">
        <v>6</v>
      </c>
      <c r="E181" s="8">
        <v>8</v>
      </c>
      <c r="F181" s="9">
        <v>52.18</v>
      </c>
      <c r="G181" s="10">
        <v>1500</v>
      </c>
      <c r="H181" s="9" t="s">
        <v>1017</v>
      </c>
      <c r="I181" s="9"/>
      <c r="J181" s="22">
        <f>I181*E181</f>
        <v>0</v>
      </c>
    </row>
    <row r="182" spans="1:10" ht="25.2" x14ac:dyDescent="0.3">
      <c r="A182" s="5">
        <v>1000355</v>
      </c>
      <c r="B182" s="6" t="s">
        <v>297</v>
      </c>
      <c r="C182" s="7" t="s">
        <v>298</v>
      </c>
      <c r="D182" s="7" t="s">
        <v>248</v>
      </c>
      <c r="E182" s="8">
        <v>45</v>
      </c>
      <c r="F182" s="9">
        <v>205.83</v>
      </c>
      <c r="G182" s="10">
        <v>48</v>
      </c>
      <c r="H182" s="9" t="s">
        <v>1017</v>
      </c>
      <c r="I182" s="9"/>
      <c r="J182" s="22">
        <f>I182*E182</f>
        <v>0</v>
      </c>
    </row>
    <row r="183" spans="1:10" ht="25.2" x14ac:dyDescent="0.3">
      <c r="A183" s="5" t="s">
        <v>299</v>
      </c>
      <c r="B183" s="6" t="s">
        <v>300</v>
      </c>
      <c r="C183" s="7" t="s">
        <v>301</v>
      </c>
      <c r="D183" s="7" t="s">
        <v>248</v>
      </c>
      <c r="E183" s="8">
        <v>75</v>
      </c>
      <c r="F183" s="9">
        <v>349.38</v>
      </c>
      <c r="G183" s="10">
        <v>35</v>
      </c>
      <c r="H183" s="9" t="s">
        <v>1017</v>
      </c>
      <c r="I183" s="9"/>
      <c r="J183" s="22">
        <f>I183*E183</f>
        <v>0</v>
      </c>
    </row>
    <row r="184" spans="1:10" x14ac:dyDescent="0.3">
      <c r="A184" s="5">
        <v>1000071</v>
      </c>
      <c r="B184" s="6" t="s">
        <v>1112</v>
      </c>
      <c r="C184" s="30" t="s">
        <v>184</v>
      </c>
      <c r="D184" s="32" t="s">
        <v>1045</v>
      </c>
      <c r="E184" s="8">
        <v>27.5</v>
      </c>
      <c r="F184" s="9">
        <v>308.64</v>
      </c>
      <c r="G184" s="30">
        <v>300</v>
      </c>
      <c r="H184" s="30" t="s">
        <v>1030</v>
      </c>
      <c r="I184" s="30"/>
      <c r="J184" s="39">
        <v>0</v>
      </c>
    </row>
    <row r="185" spans="1:10" ht="37.799999999999997" x14ac:dyDescent="0.3">
      <c r="A185" s="5" t="s">
        <v>302</v>
      </c>
      <c r="B185" s="6" t="s">
        <v>303</v>
      </c>
      <c r="C185" s="7" t="s">
        <v>304</v>
      </c>
      <c r="D185" s="7" t="s">
        <v>42</v>
      </c>
      <c r="E185" s="8">
        <v>39</v>
      </c>
      <c r="F185" s="9">
        <v>174.69</v>
      </c>
      <c r="G185" s="10">
        <v>80</v>
      </c>
      <c r="H185" s="9" t="s">
        <v>1017</v>
      </c>
      <c r="I185" s="9"/>
      <c r="J185" s="22">
        <f>I185*E185</f>
        <v>0</v>
      </c>
    </row>
    <row r="186" spans="1:10" x14ac:dyDescent="0.3">
      <c r="A186" s="5" t="s">
        <v>305</v>
      </c>
      <c r="B186" s="6" t="s">
        <v>306</v>
      </c>
      <c r="C186" s="7" t="s">
        <v>56</v>
      </c>
      <c r="D186" s="7" t="s">
        <v>10</v>
      </c>
      <c r="E186" s="8">
        <v>25</v>
      </c>
      <c r="F186" s="9">
        <v>184.65</v>
      </c>
      <c r="G186" s="10">
        <v>560</v>
      </c>
      <c r="H186" s="9" t="s">
        <v>1017</v>
      </c>
      <c r="I186" s="9"/>
      <c r="J186" s="22">
        <f>I186*E186</f>
        <v>0</v>
      </c>
    </row>
    <row r="187" spans="1:10" x14ac:dyDescent="0.3">
      <c r="A187" s="5" t="s">
        <v>307</v>
      </c>
      <c r="B187" s="6" t="s">
        <v>308</v>
      </c>
      <c r="C187" s="7" t="s">
        <v>187</v>
      </c>
      <c r="D187" s="7" t="s">
        <v>6</v>
      </c>
      <c r="E187" s="8">
        <v>13.5</v>
      </c>
      <c r="F187" s="9">
        <v>134.75</v>
      </c>
      <c r="G187" s="10">
        <v>720</v>
      </c>
      <c r="H187" s="9" t="s">
        <v>1017</v>
      </c>
      <c r="I187" s="9"/>
      <c r="J187" s="22">
        <f>I187*E187</f>
        <v>0</v>
      </c>
    </row>
    <row r="188" spans="1:10" x14ac:dyDescent="0.3">
      <c r="A188" s="5">
        <v>1001212</v>
      </c>
      <c r="B188" s="6" t="s">
        <v>309</v>
      </c>
      <c r="C188" s="7" t="s">
        <v>28</v>
      </c>
      <c r="D188" s="7" t="s">
        <v>310</v>
      </c>
      <c r="E188" s="8">
        <v>85</v>
      </c>
      <c r="F188" s="9">
        <v>311.44</v>
      </c>
      <c r="G188" s="10">
        <v>200</v>
      </c>
      <c r="H188" s="9" t="s">
        <v>1017</v>
      </c>
      <c r="I188" s="9"/>
      <c r="J188" s="22">
        <f>I188*E188</f>
        <v>0</v>
      </c>
    </row>
    <row r="189" spans="1:10" x14ac:dyDescent="0.3">
      <c r="A189" s="5">
        <v>1001213</v>
      </c>
      <c r="B189" s="6" t="s">
        <v>311</v>
      </c>
      <c r="C189" s="7" t="s">
        <v>28</v>
      </c>
      <c r="D189" s="7" t="s">
        <v>310</v>
      </c>
      <c r="E189" s="8">
        <v>95</v>
      </c>
      <c r="F189" s="9">
        <v>333.68</v>
      </c>
      <c r="G189" s="10">
        <v>200</v>
      </c>
      <c r="H189" s="9" t="s">
        <v>1017</v>
      </c>
      <c r="I189" s="9"/>
      <c r="J189" s="22">
        <f>I189*E189</f>
        <v>0</v>
      </c>
    </row>
    <row r="190" spans="1:10" x14ac:dyDescent="0.3">
      <c r="A190" s="5" t="s">
        <v>949</v>
      </c>
      <c r="B190" s="6" t="s">
        <v>950</v>
      </c>
      <c r="C190" s="7" t="s">
        <v>951</v>
      </c>
      <c r="D190" s="7" t="s">
        <v>6</v>
      </c>
      <c r="E190" s="8">
        <v>5</v>
      </c>
      <c r="F190" s="9">
        <v>18.77</v>
      </c>
      <c r="G190" s="10">
        <v>960</v>
      </c>
      <c r="H190" s="9" t="s">
        <v>1017</v>
      </c>
      <c r="I190" s="9"/>
      <c r="J190" s="22">
        <f>I190*E190</f>
        <v>0</v>
      </c>
    </row>
    <row r="191" spans="1:10" x14ac:dyDescent="0.3">
      <c r="A191" s="5" t="s">
        <v>312</v>
      </c>
      <c r="B191" s="6" t="s">
        <v>313</v>
      </c>
      <c r="C191" s="26" t="s">
        <v>314</v>
      </c>
      <c r="D191" s="26" t="s">
        <v>6</v>
      </c>
      <c r="E191" s="8">
        <v>4.5</v>
      </c>
      <c r="F191" s="9">
        <v>12.96</v>
      </c>
      <c r="G191" s="29">
        <v>2560</v>
      </c>
      <c r="H191" s="9" t="s">
        <v>1017</v>
      </c>
      <c r="I191" s="9"/>
      <c r="J191" s="22">
        <f>I191*E191</f>
        <v>0</v>
      </c>
    </row>
    <row r="192" spans="1:10" ht="25.2" x14ac:dyDescent="0.3">
      <c r="A192" s="5" t="s">
        <v>315</v>
      </c>
      <c r="B192" s="6" t="s">
        <v>316</v>
      </c>
      <c r="C192" s="7" t="s">
        <v>317</v>
      </c>
      <c r="D192" s="7" t="s">
        <v>6</v>
      </c>
      <c r="E192" s="8">
        <v>12.5</v>
      </c>
      <c r="F192" s="9">
        <v>64.41</v>
      </c>
      <c r="G192" s="10">
        <v>1080</v>
      </c>
      <c r="H192" s="9" t="s">
        <v>1017</v>
      </c>
      <c r="I192" s="9"/>
      <c r="J192" s="22">
        <f>I192*E192</f>
        <v>0</v>
      </c>
    </row>
    <row r="193" spans="1:10" x14ac:dyDescent="0.3">
      <c r="A193" s="5">
        <v>1001324</v>
      </c>
      <c r="B193" s="6" t="s">
        <v>318</v>
      </c>
      <c r="C193" s="7" t="s">
        <v>319</v>
      </c>
      <c r="D193" s="7" t="s">
        <v>320</v>
      </c>
      <c r="E193" s="8">
        <v>119</v>
      </c>
      <c r="F193" s="9">
        <v>479.61</v>
      </c>
      <c r="G193" s="10">
        <v>160</v>
      </c>
      <c r="H193" s="9" t="s">
        <v>1017</v>
      </c>
      <c r="I193" s="9"/>
      <c r="J193" s="22">
        <f>I193*E193</f>
        <v>0</v>
      </c>
    </row>
    <row r="194" spans="1:10" x14ac:dyDescent="0.3">
      <c r="A194" s="5">
        <v>1001211</v>
      </c>
      <c r="B194" s="6" t="s">
        <v>321</v>
      </c>
      <c r="C194" s="7" t="s">
        <v>319</v>
      </c>
      <c r="D194" s="7" t="s">
        <v>320</v>
      </c>
      <c r="E194" s="8">
        <v>112.5</v>
      </c>
      <c r="F194" s="9">
        <v>474.72</v>
      </c>
      <c r="G194" s="10">
        <v>160</v>
      </c>
      <c r="H194" s="9" t="s">
        <v>1017</v>
      </c>
      <c r="I194" s="9"/>
      <c r="J194" s="22">
        <f>I194*E194</f>
        <v>0</v>
      </c>
    </row>
    <row r="195" spans="1:10" x14ac:dyDescent="0.3">
      <c r="A195" s="5" t="s">
        <v>322</v>
      </c>
      <c r="B195" s="6" t="s">
        <v>323</v>
      </c>
      <c r="C195" s="7" t="s">
        <v>56</v>
      </c>
      <c r="D195" s="7" t="s">
        <v>10</v>
      </c>
      <c r="E195" s="8">
        <v>26.5</v>
      </c>
      <c r="F195" s="9">
        <v>181.5</v>
      </c>
      <c r="G195" s="10">
        <v>720</v>
      </c>
      <c r="H195" s="9" t="s">
        <v>1017</v>
      </c>
      <c r="I195" s="9"/>
      <c r="J195" s="22">
        <f>I195*E195</f>
        <v>0</v>
      </c>
    </row>
    <row r="196" spans="1:10" x14ac:dyDescent="0.3">
      <c r="A196" s="5" t="s">
        <v>324</v>
      </c>
      <c r="B196" s="6" t="s">
        <v>325</v>
      </c>
      <c r="C196" s="7" t="s">
        <v>326</v>
      </c>
      <c r="D196" s="7" t="s">
        <v>6</v>
      </c>
      <c r="E196" s="8">
        <v>15</v>
      </c>
      <c r="F196" s="9">
        <v>48.82</v>
      </c>
      <c r="G196" s="10">
        <v>480</v>
      </c>
      <c r="H196" s="9" t="s">
        <v>1017</v>
      </c>
      <c r="I196" s="9"/>
      <c r="J196" s="22">
        <f>I196*E196</f>
        <v>0</v>
      </c>
    </row>
    <row r="197" spans="1:10" x14ac:dyDescent="0.3">
      <c r="A197" s="5">
        <v>1001506</v>
      </c>
      <c r="B197" s="6" t="s">
        <v>926</v>
      </c>
      <c r="C197" s="30" t="s">
        <v>927</v>
      </c>
      <c r="D197" s="32" t="s">
        <v>928</v>
      </c>
      <c r="E197" s="8">
        <v>40</v>
      </c>
      <c r="F197" s="9">
        <v>260</v>
      </c>
      <c r="G197" s="30">
        <v>360</v>
      </c>
      <c r="H197" s="9" t="s">
        <v>1017</v>
      </c>
      <c r="I197" s="9"/>
      <c r="J197" s="22">
        <f>I197*E197</f>
        <v>0</v>
      </c>
    </row>
    <row r="198" spans="1:10" x14ac:dyDescent="0.3">
      <c r="A198" s="5" t="s">
        <v>327</v>
      </c>
      <c r="B198" s="6" t="s">
        <v>328</v>
      </c>
      <c r="C198" s="7" t="s">
        <v>24</v>
      </c>
      <c r="D198" s="7" t="s">
        <v>6</v>
      </c>
      <c r="E198" s="8">
        <v>31.5</v>
      </c>
      <c r="F198" s="9">
        <v>321.85000000000002</v>
      </c>
      <c r="G198" s="10">
        <v>1200</v>
      </c>
      <c r="H198" s="9" t="s">
        <v>1017</v>
      </c>
      <c r="I198" s="9"/>
      <c r="J198" s="22">
        <f>I198*E198</f>
        <v>0</v>
      </c>
    </row>
    <row r="199" spans="1:10" x14ac:dyDescent="0.3">
      <c r="A199" s="5" t="s">
        <v>329</v>
      </c>
      <c r="B199" s="6" t="s">
        <v>330</v>
      </c>
      <c r="C199" s="26" t="s">
        <v>28</v>
      </c>
      <c r="D199" s="26" t="s">
        <v>10</v>
      </c>
      <c r="E199" s="8">
        <v>12</v>
      </c>
      <c r="F199" s="9">
        <v>59.81</v>
      </c>
      <c r="G199" s="29">
        <v>1050</v>
      </c>
      <c r="H199" s="9" t="s">
        <v>1017</v>
      </c>
      <c r="I199" s="9"/>
      <c r="J199" s="22">
        <f>I199*E199</f>
        <v>0</v>
      </c>
    </row>
    <row r="200" spans="1:10" x14ac:dyDescent="0.3">
      <c r="A200" s="5" t="s">
        <v>331</v>
      </c>
      <c r="B200" s="6" t="s">
        <v>332</v>
      </c>
      <c r="C200" s="7" t="s">
        <v>28</v>
      </c>
      <c r="D200" s="7" t="s">
        <v>10</v>
      </c>
      <c r="E200" s="8">
        <v>22</v>
      </c>
      <c r="F200" s="9">
        <v>132.72</v>
      </c>
      <c r="G200" s="10">
        <v>400</v>
      </c>
      <c r="H200" s="9" t="s">
        <v>1017</v>
      </c>
      <c r="I200" s="9"/>
      <c r="J200" s="22">
        <f>I200*E200</f>
        <v>0</v>
      </c>
    </row>
    <row r="201" spans="1:10" x14ac:dyDescent="0.3">
      <c r="A201" s="5">
        <v>1000676</v>
      </c>
      <c r="B201" s="6" t="s">
        <v>333</v>
      </c>
      <c r="C201" s="7" t="s">
        <v>28</v>
      </c>
      <c r="D201" s="7" t="s">
        <v>10</v>
      </c>
      <c r="E201" s="8">
        <v>16</v>
      </c>
      <c r="F201" s="9">
        <v>96.42</v>
      </c>
      <c r="G201" s="10">
        <v>1050</v>
      </c>
      <c r="H201" s="9" t="s">
        <v>1017</v>
      </c>
      <c r="I201" s="9"/>
      <c r="J201" s="22">
        <f>I201*E201</f>
        <v>0</v>
      </c>
    </row>
    <row r="202" spans="1:10" x14ac:dyDescent="0.3">
      <c r="A202" s="5">
        <v>1000419</v>
      </c>
      <c r="B202" s="6" t="s">
        <v>334</v>
      </c>
      <c r="C202" s="7" t="s">
        <v>56</v>
      </c>
      <c r="D202" s="7" t="s">
        <v>10</v>
      </c>
      <c r="E202" s="8">
        <v>26.5</v>
      </c>
      <c r="F202" s="9">
        <v>174.69</v>
      </c>
      <c r="G202" s="10">
        <v>480</v>
      </c>
      <c r="H202" s="9" t="s">
        <v>1017</v>
      </c>
      <c r="I202" s="9"/>
      <c r="J202" s="22">
        <f>I202*E202</f>
        <v>0</v>
      </c>
    </row>
    <row r="203" spans="1:10" x14ac:dyDescent="0.3">
      <c r="A203" s="5" t="s">
        <v>335</v>
      </c>
      <c r="B203" s="6" t="s">
        <v>336</v>
      </c>
      <c r="C203" s="7" t="s">
        <v>337</v>
      </c>
      <c r="D203" s="7" t="s">
        <v>6</v>
      </c>
      <c r="E203" s="8">
        <v>22.5</v>
      </c>
      <c r="F203" s="9">
        <v>127.87</v>
      </c>
      <c r="G203" s="10">
        <v>1050</v>
      </c>
      <c r="H203" s="9" t="s">
        <v>1017</v>
      </c>
      <c r="I203" s="9"/>
      <c r="J203" s="22">
        <f>I203*E203</f>
        <v>0</v>
      </c>
    </row>
    <row r="204" spans="1:10" x14ac:dyDescent="0.3">
      <c r="A204" s="5" t="s">
        <v>338</v>
      </c>
      <c r="B204" s="6" t="s">
        <v>339</v>
      </c>
      <c r="C204" s="7" t="s">
        <v>56</v>
      </c>
      <c r="D204" s="7" t="s">
        <v>10</v>
      </c>
      <c r="E204" s="8">
        <v>28.5</v>
      </c>
      <c r="F204" s="9">
        <v>164.48</v>
      </c>
      <c r="G204" s="10">
        <v>400</v>
      </c>
      <c r="H204" s="9" t="s">
        <v>1017</v>
      </c>
      <c r="I204" s="9"/>
      <c r="J204" s="22">
        <f>I204*E204</f>
        <v>0</v>
      </c>
    </row>
    <row r="205" spans="1:10" x14ac:dyDescent="0.3">
      <c r="A205" s="5">
        <v>1000443</v>
      </c>
      <c r="B205" s="6" t="s">
        <v>340</v>
      </c>
      <c r="C205" s="7" t="s">
        <v>341</v>
      </c>
      <c r="D205" s="7" t="s">
        <v>10</v>
      </c>
      <c r="E205" s="8">
        <v>23</v>
      </c>
      <c r="F205" s="9">
        <v>262.04000000000002</v>
      </c>
      <c r="G205" s="10">
        <v>700</v>
      </c>
      <c r="H205" s="9" t="s">
        <v>1017</v>
      </c>
      <c r="I205" s="9"/>
      <c r="J205" s="22">
        <f>I205*E205</f>
        <v>0</v>
      </c>
    </row>
    <row r="206" spans="1:10" x14ac:dyDescent="0.3">
      <c r="A206" s="5">
        <v>1000446</v>
      </c>
      <c r="B206" s="6" t="s">
        <v>342</v>
      </c>
      <c r="C206" s="7" t="s">
        <v>341</v>
      </c>
      <c r="D206" s="7" t="s">
        <v>10</v>
      </c>
      <c r="E206" s="8">
        <v>40.9</v>
      </c>
      <c r="F206" s="9">
        <v>260.89999999999998</v>
      </c>
      <c r="G206" s="10">
        <v>450</v>
      </c>
      <c r="H206" s="9" t="s">
        <v>1017</v>
      </c>
      <c r="I206" s="9"/>
      <c r="J206" s="22">
        <f>I206*E206</f>
        <v>0</v>
      </c>
    </row>
    <row r="207" spans="1:10" x14ac:dyDescent="0.3">
      <c r="A207" s="5">
        <v>1000444</v>
      </c>
      <c r="B207" s="6" t="s">
        <v>343</v>
      </c>
      <c r="C207" s="7" t="s">
        <v>341</v>
      </c>
      <c r="D207" s="7" t="s">
        <v>10</v>
      </c>
      <c r="E207" s="8">
        <v>35.75</v>
      </c>
      <c r="F207" s="9">
        <v>274.51</v>
      </c>
      <c r="G207" s="10">
        <v>450</v>
      </c>
      <c r="H207" s="9" t="s">
        <v>1017</v>
      </c>
      <c r="I207" s="9"/>
      <c r="J207" s="22">
        <f>I207*E207</f>
        <v>0</v>
      </c>
    </row>
    <row r="208" spans="1:10" x14ac:dyDescent="0.3">
      <c r="A208" s="5" t="s">
        <v>344</v>
      </c>
      <c r="B208" s="6" t="s">
        <v>345</v>
      </c>
      <c r="C208" s="7" t="s">
        <v>346</v>
      </c>
      <c r="D208" s="7" t="s">
        <v>129</v>
      </c>
      <c r="E208" s="8">
        <v>25.5</v>
      </c>
      <c r="F208" s="9">
        <v>122.5</v>
      </c>
      <c r="G208" s="10">
        <v>64</v>
      </c>
      <c r="H208" s="9" t="s">
        <v>1017</v>
      </c>
      <c r="I208" s="9"/>
      <c r="J208" s="22">
        <f>I208*E208</f>
        <v>0</v>
      </c>
    </row>
    <row r="209" spans="1:10" x14ac:dyDescent="0.3">
      <c r="A209" s="5" t="s">
        <v>347</v>
      </c>
      <c r="B209" s="6" t="s">
        <v>348</v>
      </c>
      <c r="C209" s="7" t="s">
        <v>346</v>
      </c>
      <c r="D209" s="7" t="s">
        <v>129</v>
      </c>
      <c r="E209" s="8">
        <v>25.5</v>
      </c>
      <c r="F209" s="9">
        <v>122.5</v>
      </c>
      <c r="G209" s="10">
        <v>64</v>
      </c>
      <c r="H209" s="9" t="s">
        <v>1017</v>
      </c>
      <c r="I209" s="9"/>
      <c r="J209" s="22">
        <f>I209*E209</f>
        <v>0</v>
      </c>
    </row>
    <row r="210" spans="1:10" x14ac:dyDescent="0.3">
      <c r="A210" s="5" t="s">
        <v>349</v>
      </c>
      <c r="B210" s="6" t="s">
        <v>350</v>
      </c>
      <c r="C210" s="30" t="s">
        <v>351</v>
      </c>
      <c r="D210" s="32" t="s">
        <v>129</v>
      </c>
      <c r="E210" s="8">
        <v>55</v>
      </c>
      <c r="F210" s="9">
        <v>182.8</v>
      </c>
      <c r="G210" s="30">
        <v>64</v>
      </c>
      <c r="H210" s="9" t="s">
        <v>1017</v>
      </c>
      <c r="I210" s="9"/>
      <c r="J210" s="22">
        <f>I210*E210</f>
        <v>0</v>
      </c>
    </row>
    <row r="211" spans="1:10" x14ac:dyDescent="0.3">
      <c r="A211" s="24">
        <v>1001563</v>
      </c>
      <c r="B211" s="6" t="s">
        <v>1022</v>
      </c>
      <c r="C211" s="26" t="s">
        <v>53</v>
      </c>
      <c r="D211" s="7" t="s">
        <v>10</v>
      </c>
      <c r="E211" s="8">
        <v>16</v>
      </c>
      <c r="F211" s="9">
        <v>114.57</v>
      </c>
      <c r="G211" s="11">
        <v>640</v>
      </c>
      <c r="H211" s="9" t="s">
        <v>1017</v>
      </c>
      <c r="I211" s="9"/>
      <c r="J211" s="22">
        <f>I211*E211</f>
        <v>0</v>
      </c>
    </row>
    <row r="212" spans="1:10" x14ac:dyDescent="0.3">
      <c r="A212" s="5" t="s">
        <v>352</v>
      </c>
      <c r="B212" s="6" t="s">
        <v>353</v>
      </c>
      <c r="C212" s="7" t="s">
        <v>53</v>
      </c>
      <c r="D212" s="7" t="s">
        <v>10</v>
      </c>
      <c r="E212" s="8">
        <v>16</v>
      </c>
      <c r="F212" s="9">
        <v>114.57</v>
      </c>
      <c r="G212" s="10">
        <v>640</v>
      </c>
      <c r="H212" s="9" t="s">
        <v>1017</v>
      </c>
      <c r="I212" s="9"/>
      <c r="J212" s="22">
        <f>I212*E212</f>
        <v>0</v>
      </c>
    </row>
    <row r="213" spans="1:10" x14ac:dyDescent="0.3">
      <c r="A213" s="5" t="s">
        <v>354</v>
      </c>
      <c r="B213" s="6" t="s">
        <v>355</v>
      </c>
      <c r="C213" s="7" t="s">
        <v>56</v>
      </c>
      <c r="D213" s="7" t="s">
        <v>10</v>
      </c>
      <c r="E213" s="8">
        <v>30</v>
      </c>
      <c r="F213" s="9">
        <v>204.18</v>
      </c>
      <c r="G213" s="10">
        <v>300</v>
      </c>
      <c r="H213" s="9" t="s">
        <v>1017</v>
      </c>
      <c r="I213" s="9"/>
      <c r="J213" s="22">
        <f>I213*E213</f>
        <v>0</v>
      </c>
    </row>
    <row r="214" spans="1:10" x14ac:dyDescent="0.3">
      <c r="A214" s="5" t="s">
        <v>960</v>
      </c>
      <c r="B214" s="6" t="s">
        <v>961</v>
      </c>
      <c r="C214" s="30" t="s">
        <v>962</v>
      </c>
      <c r="D214" s="32" t="s">
        <v>92</v>
      </c>
      <c r="E214" s="8">
        <v>40</v>
      </c>
      <c r="F214" s="9">
        <v>245</v>
      </c>
      <c r="G214" s="30">
        <v>480</v>
      </c>
      <c r="H214" s="9" t="s">
        <v>1017</v>
      </c>
      <c r="I214" s="9"/>
      <c r="J214" s="22">
        <f>I214*E214</f>
        <v>0</v>
      </c>
    </row>
    <row r="215" spans="1:10" ht="25.2" x14ac:dyDescent="0.3">
      <c r="A215" s="5">
        <v>1000610</v>
      </c>
      <c r="B215" s="6" t="s">
        <v>356</v>
      </c>
      <c r="C215" s="7" t="s">
        <v>100</v>
      </c>
      <c r="D215" s="7" t="s">
        <v>357</v>
      </c>
      <c r="E215" s="8">
        <v>45</v>
      </c>
      <c r="F215" s="9">
        <v>103.95</v>
      </c>
      <c r="G215" s="10">
        <v>100</v>
      </c>
      <c r="H215" s="9" t="s">
        <v>1017</v>
      </c>
      <c r="I215" s="9"/>
      <c r="J215" s="22">
        <f>I215*E215</f>
        <v>0</v>
      </c>
    </row>
    <row r="216" spans="1:10" x14ac:dyDescent="0.3">
      <c r="A216" s="5">
        <v>1001169</v>
      </c>
      <c r="B216" s="6" t="s">
        <v>1113</v>
      </c>
      <c r="C216" s="30" t="s">
        <v>1114</v>
      </c>
      <c r="D216" s="32" t="s">
        <v>129</v>
      </c>
      <c r="E216" s="8">
        <v>92</v>
      </c>
      <c r="F216" s="9">
        <v>236.24999999999997</v>
      </c>
      <c r="G216" s="30">
        <v>20</v>
      </c>
      <c r="H216" s="30" t="s">
        <v>1030</v>
      </c>
      <c r="I216" s="30"/>
      <c r="J216" s="39">
        <v>0</v>
      </c>
    </row>
    <row r="217" spans="1:10" ht="25.2" x14ac:dyDescent="0.3">
      <c r="A217" s="5">
        <v>1000611</v>
      </c>
      <c r="B217" s="6" t="s">
        <v>358</v>
      </c>
      <c r="C217" s="7" t="s">
        <v>100</v>
      </c>
      <c r="D217" s="7" t="s">
        <v>357</v>
      </c>
      <c r="E217" s="8">
        <v>31</v>
      </c>
      <c r="F217" s="9">
        <v>198.5</v>
      </c>
      <c r="G217" s="10">
        <v>100</v>
      </c>
      <c r="H217" s="9" t="s">
        <v>1017</v>
      </c>
      <c r="I217" s="9"/>
      <c r="J217" s="22">
        <f>I217*E217</f>
        <v>0</v>
      </c>
    </row>
    <row r="218" spans="1:10" ht="25.2" x14ac:dyDescent="0.3">
      <c r="A218" s="5" t="s">
        <v>359</v>
      </c>
      <c r="B218" s="6" t="s">
        <v>360</v>
      </c>
      <c r="C218" s="7" t="s">
        <v>19</v>
      </c>
      <c r="D218" s="7" t="s">
        <v>361</v>
      </c>
      <c r="E218" s="8">
        <v>18</v>
      </c>
      <c r="F218" s="9">
        <v>99.22</v>
      </c>
      <c r="G218" s="10">
        <v>600</v>
      </c>
      <c r="H218" s="9" t="s">
        <v>1017</v>
      </c>
      <c r="I218" s="9"/>
      <c r="J218" s="22">
        <f>I218*E218</f>
        <v>0</v>
      </c>
    </row>
    <row r="219" spans="1:10" x14ac:dyDescent="0.3">
      <c r="A219" s="5">
        <v>1001209</v>
      </c>
      <c r="B219" s="6" t="s">
        <v>362</v>
      </c>
      <c r="C219" s="7" t="s">
        <v>363</v>
      </c>
      <c r="D219" s="7" t="s">
        <v>364</v>
      </c>
      <c r="E219" s="8">
        <v>12.5</v>
      </c>
      <c r="F219" s="9">
        <v>73.12</v>
      </c>
      <c r="G219" s="10">
        <v>720</v>
      </c>
      <c r="H219" s="9" t="s">
        <v>1017</v>
      </c>
      <c r="I219" s="9"/>
      <c r="J219" s="22">
        <f>I219*E219</f>
        <v>0</v>
      </c>
    </row>
    <row r="220" spans="1:10" ht="25.2" x14ac:dyDescent="0.3">
      <c r="A220" s="5" t="s">
        <v>365</v>
      </c>
      <c r="B220" s="6" t="s">
        <v>366</v>
      </c>
      <c r="C220" s="7" t="s">
        <v>19</v>
      </c>
      <c r="D220" s="7" t="s">
        <v>361</v>
      </c>
      <c r="E220" s="8">
        <v>18</v>
      </c>
      <c r="F220" s="9">
        <v>87.79</v>
      </c>
      <c r="G220" s="10">
        <v>600</v>
      </c>
      <c r="H220" s="9" t="s">
        <v>1017</v>
      </c>
      <c r="I220" s="9"/>
      <c r="J220" s="22">
        <f>I220*E220</f>
        <v>0</v>
      </c>
    </row>
    <row r="221" spans="1:10" ht="25.2" x14ac:dyDescent="0.3">
      <c r="A221" s="5" t="s">
        <v>367</v>
      </c>
      <c r="B221" s="6" t="s">
        <v>368</v>
      </c>
      <c r="C221" s="7" t="s">
        <v>369</v>
      </c>
      <c r="D221" s="7" t="s">
        <v>80</v>
      </c>
      <c r="E221" s="8">
        <v>27</v>
      </c>
      <c r="F221" s="9">
        <v>123.75</v>
      </c>
      <c r="G221" s="10">
        <v>150</v>
      </c>
      <c r="H221" s="9" t="s">
        <v>1017</v>
      </c>
      <c r="I221" s="9"/>
      <c r="J221" s="22">
        <f>I221*E221</f>
        <v>0</v>
      </c>
    </row>
    <row r="222" spans="1:10" x14ac:dyDescent="0.3">
      <c r="A222" s="5" t="s">
        <v>370</v>
      </c>
      <c r="B222" s="6" t="s">
        <v>371</v>
      </c>
      <c r="C222" s="7" t="s">
        <v>372</v>
      </c>
      <c r="D222" s="7" t="s">
        <v>6</v>
      </c>
      <c r="E222" s="8">
        <v>8.25</v>
      </c>
      <c r="F222" s="9">
        <v>34.03</v>
      </c>
      <c r="G222" s="10">
        <v>1800</v>
      </c>
      <c r="H222" s="9" t="s">
        <v>1017</v>
      </c>
      <c r="I222" s="9"/>
      <c r="J222" s="22">
        <f>I222*E222</f>
        <v>0</v>
      </c>
    </row>
    <row r="223" spans="1:10" x14ac:dyDescent="0.3">
      <c r="A223" s="5" t="s">
        <v>373</v>
      </c>
      <c r="B223" s="6" t="s">
        <v>374</v>
      </c>
      <c r="C223" s="7" t="s">
        <v>372</v>
      </c>
      <c r="D223" s="7" t="s">
        <v>6</v>
      </c>
      <c r="E223" s="8">
        <v>11.5</v>
      </c>
      <c r="F223" s="9">
        <v>73.61</v>
      </c>
      <c r="G223" s="10">
        <v>1800</v>
      </c>
      <c r="H223" s="9" t="s">
        <v>1017</v>
      </c>
      <c r="I223" s="9"/>
      <c r="J223" s="22">
        <f>I223*E223</f>
        <v>0</v>
      </c>
    </row>
    <row r="224" spans="1:10" x14ac:dyDescent="0.3">
      <c r="A224" s="5" t="s">
        <v>375</v>
      </c>
      <c r="B224" s="6" t="s">
        <v>376</v>
      </c>
      <c r="C224" s="7" t="s">
        <v>56</v>
      </c>
      <c r="D224" s="7" t="s">
        <v>6</v>
      </c>
      <c r="E224" s="8">
        <v>22</v>
      </c>
      <c r="F224" s="9">
        <v>155.97</v>
      </c>
      <c r="G224" s="10">
        <v>800</v>
      </c>
      <c r="H224" s="9" t="s">
        <v>1017</v>
      </c>
      <c r="I224" s="9"/>
      <c r="J224" s="22">
        <f>I224*E224</f>
        <v>0</v>
      </c>
    </row>
    <row r="225" spans="1:10" x14ac:dyDescent="0.3">
      <c r="A225" s="5" t="s">
        <v>377</v>
      </c>
      <c r="B225" s="6" t="s">
        <v>378</v>
      </c>
      <c r="C225" s="7" t="s">
        <v>56</v>
      </c>
      <c r="D225" s="7" t="s">
        <v>6</v>
      </c>
      <c r="E225" s="8">
        <v>29</v>
      </c>
      <c r="F225" s="9">
        <v>199.65</v>
      </c>
      <c r="G225" s="10">
        <v>800</v>
      </c>
      <c r="H225" s="9" t="s">
        <v>1017</v>
      </c>
      <c r="I225" s="9"/>
      <c r="J225" s="22">
        <f>I225*E225</f>
        <v>0</v>
      </c>
    </row>
    <row r="226" spans="1:10" x14ac:dyDescent="0.3">
      <c r="A226" s="5" t="s">
        <v>379</v>
      </c>
      <c r="B226" s="6" t="s">
        <v>380</v>
      </c>
      <c r="C226" s="7" t="s">
        <v>56</v>
      </c>
      <c r="D226" s="7" t="s">
        <v>10</v>
      </c>
      <c r="E226" s="8">
        <v>32</v>
      </c>
      <c r="F226" s="9">
        <v>147.46</v>
      </c>
      <c r="G226" s="10">
        <v>400</v>
      </c>
      <c r="H226" s="9" t="s">
        <v>1017</v>
      </c>
      <c r="I226" s="9"/>
      <c r="J226" s="22">
        <f>I226*E226</f>
        <v>0</v>
      </c>
    </row>
    <row r="227" spans="1:10" ht="37.799999999999997" x14ac:dyDescent="0.3">
      <c r="A227" s="5">
        <v>1000252</v>
      </c>
      <c r="B227" s="6" t="s">
        <v>381</v>
      </c>
      <c r="C227" s="7" t="s">
        <v>100</v>
      </c>
      <c r="D227" s="7" t="s">
        <v>42</v>
      </c>
      <c r="E227" s="8">
        <v>24</v>
      </c>
      <c r="F227" s="9">
        <v>98.43</v>
      </c>
      <c r="G227" s="10">
        <v>100</v>
      </c>
      <c r="H227" s="9" t="s">
        <v>1017</v>
      </c>
      <c r="I227" s="9"/>
      <c r="J227" s="22">
        <f>I227*E227</f>
        <v>0</v>
      </c>
    </row>
    <row r="228" spans="1:10" x14ac:dyDescent="0.3">
      <c r="A228" s="5" t="s">
        <v>382</v>
      </c>
      <c r="B228" s="6" t="s">
        <v>383</v>
      </c>
      <c r="C228" s="7" t="s">
        <v>369</v>
      </c>
      <c r="D228" s="7" t="s">
        <v>84</v>
      </c>
      <c r="E228" s="8">
        <v>26</v>
      </c>
      <c r="F228" s="9">
        <v>124.75</v>
      </c>
      <c r="G228" s="10">
        <v>150</v>
      </c>
      <c r="H228" s="9" t="s">
        <v>1017</v>
      </c>
      <c r="I228" s="9"/>
      <c r="J228" s="22">
        <f>I228*E228</f>
        <v>0</v>
      </c>
    </row>
    <row r="229" spans="1:10" x14ac:dyDescent="0.3">
      <c r="A229" s="5" t="s">
        <v>384</v>
      </c>
      <c r="B229" s="6" t="s">
        <v>385</v>
      </c>
      <c r="C229" s="7" t="s">
        <v>247</v>
      </c>
      <c r="D229" s="7" t="s">
        <v>129</v>
      </c>
      <c r="E229" s="8">
        <v>16.5</v>
      </c>
      <c r="F229" s="9">
        <v>82.35</v>
      </c>
      <c r="G229" s="10">
        <v>200</v>
      </c>
      <c r="H229" s="9" t="s">
        <v>1017</v>
      </c>
      <c r="I229" s="9"/>
      <c r="J229" s="22">
        <f>I229*E229</f>
        <v>0</v>
      </c>
    </row>
    <row r="230" spans="1:10" x14ac:dyDescent="0.3">
      <c r="A230" s="5" t="s">
        <v>386</v>
      </c>
      <c r="B230" s="6" t="s">
        <v>387</v>
      </c>
      <c r="C230" s="7" t="s">
        <v>53</v>
      </c>
      <c r="D230" s="7" t="s">
        <v>6</v>
      </c>
      <c r="E230" s="8">
        <v>13</v>
      </c>
      <c r="F230" s="9">
        <v>30.9</v>
      </c>
      <c r="G230" s="10">
        <v>1440</v>
      </c>
      <c r="H230" s="9" t="s">
        <v>1017</v>
      </c>
      <c r="I230" s="9"/>
      <c r="J230" s="22">
        <f>I230*E230</f>
        <v>0</v>
      </c>
    </row>
    <row r="231" spans="1:10" x14ac:dyDescent="0.3">
      <c r="A231" s="5" t="s">
        <v>388</v>
      </c>
      <c r="B231" s="6" t="s">
        <v>389</v>
      </c>
      <c r="C231" s="7" t="s">
        <v>53</v>
      </c>
      <c r="D231" s="7" t="s">
        <v>6</v>
      </c>
      <c r="E231" s="8">
        <v>8.5</v>
      </c>
      <c r="F231" s="9">
        <v>53.31</v>
      </c>
      <c r="G231" s="10">
        <v>1600</v>
      </c>
      <c r="H231" s="9" t="s">
        <v>1017</v>
      </c>
      <c r="I231" s="9"/>
      <c r="J231" s="22">
        <f>I231*E231</f>
        <v>0</v>
      </c>
    </row>
    <row r="232" spans="1:10" x14ac:dyDescent="0.3">
      <c r="A232" s="5" t="s">
        <v>390</v>
      </c>
      <c r="B232" s="6" t="s">
        <v>391</v>
      </c>
      <c r="C232" s="7" t="s">
        <v>53</v>
      </c>
      <c r="D232" s="7" t="s">
        <v>6</v>
      </c>
      <c r="E232" s="8">
        <v>25</v>
      </c>
      <c r="F232" s="9">
        <v>124.78</v>
      </c>
      <c r="G232" s="10">
        <v>1600</v>
      </c>
      <c r="H232" s="9" t="s">
        <v>1017</v>
      </c>
      <c r="I232" s="9"/>
      <c r="J232" s="22">
        <f>I232*E232</f>
        <v>0</v>
      </c>
    </row>
    <row r="233" spans="1:10" ht="25.2" x14ac:dyDescent="0.3">
      <c r="A233" s="5">
        <v>1001495</v>
      </c>
      <c r="B233" s="6" t="s">
        <v>902</v>
      </c>
      <c r="C233" s="7" t="s">
        <v>903</v>
      </c>
      <c r="D233" s="7" t="s">
        <v>904</v>
      </c>
      <c r="E233" s="8">
        <v>16.25</v>
      </c>
      <c r="F233" s="9">
        <v>33</v>
      </c>
      <c r="G233" s="10">
        <v>864</v>
      </c>
      <c r="H233" s="9" t="s">
        <v>1017</v>
      </c>
      <c r="I233" s="9"/>
      <c r="J233" s="22">
        <f>I233*E233</f>
        <v>0</v>
      </c>
    </row>
    <row r="234" spans="1:10" ht="25.2" x14ac:dyDescent="0.3">
      <c r="A234" s="5">
        <v>1001499</v>
      </c>
      <c r="B234" s="6" t="s">
        <v>906</v>
      </c>
      <c r="C234" s="30" t="s">
        <v>903</v>
      </c>
      <c r="D234" s="32" t="s">
        <v>904</v>
      </c>
      <c r="E234" s="8">
        <v>16.25</v>
      </c>
      <c r="F234" s="9">
        <v>34.71</v>
      </c>
      <c r="G234" s="30">
        <v>864</v>
      </c>
      <c r="H234" s="9" t="s">
        <v>1017</v>
      </c>
      <c r="I234" s="9"/>
      <c r="J234" s="22">
        <f>I234*E234</f>
        <v>0</v>
      </c>
    </row>
    <row r="235" spans="1:10" ht="25.2" x14ac:dyDescent="0.3">
      <c r="A235" s="24">
        <v>1001497</v>
      </c>
      <c r="B235" s="25" t="s">
        <v>905</v>
      </c>
      <c r="C235" s="26" t="s">
        <v>903</v>
      </c>
      <c r="D235" s="26" t="s">
        <v>904</v>
      </c>
      <c r="E235" s="27">
        <v>16.25</v>
      </c>
      <c r="F235" s="28">
        <v>33</v>
      </c>
      <c r="G235" s="29">
        <v>864</v>
      </c>
      <c r="H235" s="28" t="s">
        <v>1017</v>
      </c>
      <c r="I235" s="28"/>
      <c r="J235" s="22">
        <f>I235*E235</f>
        <v>0</v>
      </c>
    </row>
    <row r="236" spans="1:10" ht="25.2" x14ac:dyDescent="0.3">
      <c r="A236" s="5">
        <v>1001498</v>
      </c>
      <c r="B236" s="6" t="s">
        <v>907</v>
      </c>
      <c r="C236" s="7" t="s">
        <v>903</v>
      </c>
      <c r="D236" s="7" t="s">
        <v>904</v>
      </c>
      <c r="E236" s="8">
        <v>16.25</v>
      </c>
      <c r="F236" s="9">
        <v>34.71</v>
      </c>
      <c r="G236" s="10">
        <v>864</v>
      </c>
      <c r="H236" s="9" t="s">
        <v>1017</v>
      </c>
      <c r="I236" s="9"/>
      <c r="J236" s="22">
        <f>I236*E236</f>
        <v>0</v>
      </c>
    </row>
    <row r="237" spans="1:10" x14ac:dyDescent="0.3">
      <c r="A237" s="5" t="s">
        <v>392</v>
      </c>
      <c r="B237" s="6" t="s">
        <v>393</v>
      </c>
      <c r="C237" s="7" t="s">
        <v>19</v>
      </c>
      <c r="D237" s="7" t="s">
        <v>16</v>
      </c>
      <c r="E237" s="8">
        <v>22</v>
      </c>
      <c r="F237" s="9">
        <v>129.76</v>
      </c>
      <c r="G237" s="10">
        <v>600</v>
      </c>
      <c r="H237" s="9" t="s">
        <v>1017</v>
      </c>
      <c r="I237" s="9"/>
      <c r="J237" s="22">
        <f>I237*E237</f>
        <v>0</v>
      </c>
    </row>
    <row r="238" spans="1:10" x14ac:dyDescent="0.3">
      <c r="A238" s="5" t="s">
        <v>394</v>
      </c>
      <c r="B238" s="6" t="s">
        <v>395</v>
      </c>
      <c r="C238" s="7" t="s">
        <v>56</v>
      </c>
      <c r="D238" s="7" t="s">
        <v>6</v>
      </c>
      <c r="E238" s="8">
        <v>97</v>
      </c>
      <c r="F238" s="9">
        <v>294.91000000000003</v>
      </c>
      <c r="G238" s="10">
        <v>300</v>
      </c>
      <c r="H238" s="9" t="s">
        <v>1017</v>
      </c>
      <c r="I238" s="9"/>
      <c r="J238" s="22">
        <f>I238*E238</f>
        <v>0</v>
      </c>
    </row>
    <row r="239" spans="1:10" x14ac:dyDescent="0.3">
      <c r="A239" s="5" t="s">
        <v>396</v>
      </c>
      <c r="B239" s="6" t="s">
        <v>397</v>
      </c>
      <c r="C239" s="7" t="s">
        <v>56</v>
      </c>
      <c r="D239" s="7" t="s">
        <v>6</v>
      </c>
      <c r="E239" s="8">
        <v>61</v>
      </c>
      <c r="F239" s="9">
        <v>147.29</v>
      </c>
      <c r="G239" s="10">
        <v>400</v>
      </c>
      <c r="H239" s="9" t="s">
        <v>1017</v>
      </c>
      <c r="I239" s="9"/>
      <c r="J239" s="22">
        <f>I239*E239</f>
        <v>0</v>
      </c>
    </row>
    <row r="240" spans="1:10" x14ac:dyDescent="0.3">
      <c r="A240" s="5" t="s">
        <v>398</v>
      </c>
      <c r="B240" s="6" t="s">
        <v>399</v>
      </c>
      <c r="C240" s="7" t="s">
        <v>21</v>
      </c>
      <c r="D240" s="7" t="s">
        <v>400</v>
      </c>
      <c r="E240" s="8">
        <v>43</v>
      </c>
      <c r="F240" s="9">
        <v>179.23</v>
      </c>
      <c r="G240" s="10">
        <v>240</v>
      </c>
      <c r="H240" s="9" t="s">
        <v>1017</v>
      </c>
      <c r="I240" s="9"/>
      <c r="J240" s="22">
        <f>I240*E240</f>
        <v>0</v>
      </c>
    </row>
    <row r="241" spans="1:10" x14ac:dyDescent="0.3">
      <c r="A241" s="5" t="s">
        <v>401</v>
      </c>
      <c r="B241" s="6" t="s">
        <v>402</v>
      </c>
      <c r="C241" s="7" t="s">
        <v>21</v>
      </c>
      <c r="D241" s="7" t="s">
        <v>25</v>
      </c>
      <c r="E241" s="8">
        <v>65</v>
      </c>
      <c r="F241" s="9">
        <v>237.82</v>
      </c>
      <c r="G241" s="10">
        <v>240</v>
      </c>
      <c r="H241" s="9" t="s">
        <v>1017</v>
      </c>
      <c r="I241" s="9"/>
      <c r="J241" s="22">
        <f>I241*E241</f>
        <v>0</v>
      </c>
    </row>
    <row r="242" spans="1:10" ht="25.2" x14ac:dyDescent="0.3">
      <c r="A242" s="5">
        <v>1001443</v>
      </c>
      <c r="B242" s="6" t="s">
        <v>403</v>
      </c>
      <c r="C242" s="30" t="s">
        <v>114</v>
      </c>
      <c r="D242" s="32" t="s">
        <v>404</v>
      </c>
      <c r="E242" s="8">
        <v>39.5</v>
      </c>
      <c r="F242" s="9">
        <v>129</v>
      </c>
      <c r="G242" s="30">
        <v>120</v>
      </c>
      <c r="H242" s="9" t="s">
        <v>1017</v>
      </c>
      <c r="I242" s="9"/>
      <c r="J242" s="22">
        <f>I242*E242</f>
        <v>0</v>
      </c>
    </row>
    <row r="243" spans="1:10" x14ac:dyDescent="0.3">
      <c r="A243" s="5">
        <v>1000381</v>
      </c>
      <c r="B243" s="6" t="s">
        <v>405</v>
      </c>
      <c r="C243" s="7" t="s">
        <v>406</v>
      </c>
      <c r="D243" s="7" t="s">
        <v>129</v>
      </c>
      <c r="E243" s="8">
        <v>57</v>
      </c>
      <c r="F243" s="9">
        <v>204.18</v>
      </c>
      <c r="G243" s="10">
        <v>144</v>
      </c>
      <c r="H243" s="9" t="s">
        <v>1017</v>
      </c>
      <c r="I243" s="9"/>
      <c r="J243" s="22">
        <f>I243*E243</f>
        <v>0</v>
      </c>
    </row>
    <row r="244" spans="1:10" x14ac:dyDescent="0.3">
      <c r="A244" s="5" t="s">
        <v>409</v>
      </c>
      <c r="B244" s="6" t="s">
        <v>410</v>
      </c>
      <c r="C244" s="7" t="s">
        <v>56</v>
      </c>
      <c r="D244" s="7" t="s">
        <v>10</v>
      </c>
      <c r="E244" s="8">
        <v>23.5</v>
      </c>
      <c r="F244" s="9">
        <v>192.84</v>
      </c>
      <c r="G244" s="10">
        <v>600</v>
      </c>
      <c r="H244" s="9" t="s">
        <v>1017</v>
      </c>
      <c r="I244" s="9"/>
      <c r="J244" s="22">
        <f>I244*E244</f>
        <v>0</v>
      </c>
    </row>
    <row r="245" spans="1:10" x14ac:dyDescent="0.3">
      <c r="A245" s="5" t="s">
        <v>411</v>
      </c>
      <c r="B245" s="6" t="s">
        <v>412</v>
      </c>
      <c r="C245" s="7" t="s">
        <v>106</v>
      </c>
      <c r="D245" s="7" t="s">
        <v>10</v>
      </c>
      <c r="E245" s="8">
        <v>15</v>
      </c>
      <c r="F245" s="9">
        <v>107.3</v>
      </c>
      <c r="G245" s="10">
        <v>1800</v>
      </c>
      <c r="H245" s="9" t="s">
        <v>1017</v>
      </c>
      <c r="I245" s="9"/>
      <c r="J245" s="22">
        <f>I245*E245</f>
        <v>0</v>
      </c>
    </row>
    <row r="246" spans="1:10" x14ac:dyDescent="0.3">
      <c r="A246" s="5" t="s">
        <v>413</v>
      </c>
      <c r="B246" s="6" t="s">
        <v>414</v>
      </c>
      <c r="C246" s="7" t="s">
        <v>28</v>
      </c>
      <c r="D246" s="7" t="s">
        <v>220</v>
      </c>
      <c r="E246" s="8">
        <v>47</v>
      </c>
      <c r="F246" s="9">
        <v>187.17</v>
      </c>
      <c r="G246" s="10">
        <v>480</v>
      </c>
      <c r="H246" s="9" t="s">
        <v>1017</v>
      </c>
      <c r="I246" s="9"/>
      <c r="J246" s="22">
        <f>I246*E246</f>
        <v>0</v>
      </c>
    </row>
    <row r="247" spans="1:10" x14ac:dyDescent="0.3">
      <c r="A247" s="5">
        <v>1001358</v>
      </c>
      <c r="B247" s="6" t="s">
        <v>415</v>
      </c>
      <c r="C247" s="7" t="s">
        <v>21</v>
      </c>
      <c r="D247" s="7" t="s">
        <v>416</v>
      </c>
      <c r="E247" s="8">
        <v>76.5</v>
      </c>
      <c r="F247" s="9">
        <v>338.13</v>
      </c>
      <c r="G247" s="10">
        <v>600</v>
      </c>
      <c r="H247" s="9" t="s">
        <v>1017</v>
      </c>
      <c r="I247" s="9"/>
      <c r="J247" s="22">
        <f>I247*E247</f>
        <v>0</v>
      </c>
    </row>
    <row r="248" spans="1:10" x14ac:dyDescent="0.3">
      <c r="A248" s="5">
        <v>1001421</v>
      </c>
      <c r="B248" s="6" t="s">
        <v>908</v>
      </c>
      <c r="C248" s="7" t="s">
        <v>909</v>
      </c>
      <c r="D248" s="7" t="s">
        <v>910</v>
      </c>
      <c r="E248" s="8">
        <v>32</v>
      </c>
      <c r="F248" s="9">
        <v>130</v>
      </c>
      <c r="G248" s="10">
        <v>1000</v>
      </c>
      <c r="H248" s="9" t="s">
        <v>1017</v>
      </c>
      <c r="I248" s="9"/>
      <c r="J248" s="22">
        <f>I248*E248</f>
        <v>0</v>
      </c>
    </row>
    <row r="249" spans="1:10" x14ac:dyDescent="0.3">
      <c r="A249" s="5" t="s">
        <v>1115</v>
      </c>
      <c r="B249" s="6" t="s">
        <v>1116</v>
      </c>
      <c r="C249" s="30" t="s">
        <v>100</v>
      </c>
      <c r="D249" s="32" t="s">
        <v>129</v>
      </c>
      <c r="E249" s="8">
        <v>60</v>
      </c>
      <c r="F249" s="9">
        <v>132.30000000000001</v>
      </c>
      <c r="G249" s="30">
        <v>100</v>
      </c>
      <c r="H249" s="30" t="s">
        <v>1030</v>
      </c>
      <c r="I249" s="30"/>
      <c r="J249" s="39">
        <v>0</v>
      </c>
    </row>
    <row r="250" spans="1:10" x14ac:dyDescent="0.3">
      <c r="A250" s="5" t="s">
        <v>1117</v>
      </c>
      <c r="B250" s="6" t="s">
        <v>1118</v>
      </c>
      <c r="C250" s="30" t="s">
        <v>346</v>
      </c>
      <c r="D250" s="32" t="s">
        <v>129</v>
      </c>
      <c r="E250" s="8">
        <v>100</v>
      </c>
      <c r="F250" s="9">
        <v>224.91</v>
      </c>
      <c r="G250" s="30">
        <v>64</v>
      </c>
      <c r="H250" s="30" t="s">
        <v>1030</v>
      </c>
      <c r="I250" s="30"/>
      <c r="J250" s="39">
        <v>0</v>
      </c>
    </row>
    <row r="251" spans="1:10" x14ac:dyDescent="0.3">
      <c r="A251" s="5" t="s">
        <v>417</v>
      </c>
      <c r="B251" s="6" t="s">
        <v>418</v>
      </c>
      <c r="C251" s="7" t="s">
        <v>419</v>
      </c>
      <c r="D251" s="7" t="s">
        <v>10</v>
      </c>
      <c r="E251" s="8">
        <v>25</v>
      </c>
      <c r="F251" s="9">
        <v>70.31</v>
      </c>
      <c r="G251" s="10">
        <v>980</v>
      </c>
      <c r="H251" s="9" t="s">
        <v>1017</v>
      </c>
      <c r="I251" s="9"/>
      <c r="J251" s="22">
        <f>I251*E251</f>
        <v>0</v>
      </c>
    </row>
    <row r="252" spans="1:10" x14ac:dyDescent="0.3">
      <c r="A252" s="5" t="s">
        <v>420</v>
      </c>
      <c r="B252" s="6" t="s">
        <v>421</v>
      </c>
      <c r="C252" s="7" t="s">
        <v>346</v>
      </c>
      <c r="D252" s="7" t="s">
        <v>84</v>
      </c>
      <c r="E252" s="8">
        <v>28.5</v>
      </c>
      <c r="F252" s="9">
        <v>159.71</v>
      </c>
      <c r="G252" s="10">
        <v>64</v>
      </c>
      <c r="H252" s="9" t="s">
        <v>1017</v>
      </c>
      <c r="I252" s="9"/>
      <c r="J252" s="22">
        <f>I252*E252</f>
        <v>0</v>
      </c>
    </row>
    <row r="253" spans="1:10" x14ac:dyDescent="0.3">
      <c r="A253" s="5" t="s">
        <v>422</v>
      </c>
      <c r="B253" s="6" t="s">
        <v>423</v>
      </c>
      <c r="C253" s="7" t="s">
        <v>346</v>
      </c>
      <c r="D253" s="7" t="s">
        <v>129</v>
      </c>
      <c r="E253" s="8">
        <v>42</v>
      </c>
      <c r="F253" s="9">
        <v>191.7</v>
      </c>
      <c r="G253" s="10">
        <v>64</v>
      </c>
      <c r="H253" s="9" t="s">
        <v>1017</v>
      </c>
      <c r="I253" s="9"/>
      <c r="J253" s="22">
        <f>I253*E253</f>
        <v>0</v>
      </c>
    </row>
    <row r="254" spans="1:10" x14ac:dyDescent="0.3">
      <c r="A254" s="5">
        <v>1000734</v>
      </c>
      <c r="B254" s="6" t="s">
        <v>424</v>
      </c>
      <c r="C254" s="7" t="s">
        <v>425</v>
      </c>
      <c r="D254" s="7" t="s">
        <v>129</v>
      </c>
      <c r="E254" s="8">
        <v>52</v>
      </c>
      <c r="F254" s="9">
        <v>170.15</v>
      </c>
      <c r="G254" s="10">
        <v>120</v>
      </c>
      <c r="H254" s="9" t="s">
        <v>1017</v>
      </c>
      <c r="I254" s="9"/>
      <c r="J254" s="22">
        <f>I254*E254</f>
        <v>0</v>
      </c>
    </row>
    <row r="255" spans="1:10" x14ac:dyDescent="0.3">
      <c r="A255" s="5" t="s">
        <v>426</v>
      </c>
      <c r="B255" s="6" t="s">
        <v>427</v>
      </c>
      <c r="C255" s="26" t="s">
        <v>428</v>
      </c>
      <c r="D255" s="26" t="s">
        <v>6</v>
      </c>
      <c r="E255" s="8">
        <v>8</v>
      </c>
      <c r="F255" s="9">
        <v>68</v>
      </c>
      <c r="G255" s="29">
        <v>2400</v>
      </c>
      <c r="H255" s="9" t="s">
        <v>1017</v>
      </c>
      <c r="I255" s="9"/>
      <c r="J255" s="22">
        <f>I255*E255</f>
        <v>0</v>
      </c>
    </row>
    <row r="256" spans="1:10" x14ac:dyDescent="0.3">
      <c r="A256" s="32" t="s">
        <v>937</v>
      </c>
      <c r="B256" s="6" t="s">
        <v>429</v>
      </c>
      <c r="C256" s="32" t="s">
        <v>430</v>
      </c>
      <c r="D256" s="7" t="s">
        <v>431</v>
      </c>
      <c r="E256" s="8">
        <v>35</v>
      </c>
      <c r="F256" s="9">
        <v>84.35</v>
      </c>
      <c r="G256" s="30">
        <v>480</v>
      </c>
      <c r="H256" s="9" t="s">
        <v>1017</v>
      </c>
      <c r="I256" s="9"/>
      <c r="J256" s="22">
        <f>I256*E256</f>
        <v>0</v>
      </c>
    </row>
    <row r="257" spans="1:10" ht="37.799999999999997" x14ac:dyDescent="0.3">
      <c r="A257" s="24" t="s">
        <v>432</v>
      </c>
      <c r="B257" s="25" t="s">
        <v>433</v>
      </c>
      <c r="C257" s="26" t="s">
        <v>50</v>
      </c>
      <c r="D257" s="26" t="s">
        <v>42</v>
      </c>
      <c r="E257" s="27">
        <v>11.5</v>
      </c>
      <c r="F257" s="28">
        <v>48.65</v>
      </c>
      <c r="G257" s="29">
        <v>300</v>
      </c>
      <c r="H257" s="28" t="s">
        <v>1017</v>
      </c>
      <c r="I257" s="28"/>
      <c r="J257" s="22">
        <f>I257*E257</f>
        <v>0</v>
      </c>
    </row>
    <row r="258" spans="1:10" x14ac:dyDescent="0.3">
      <c r="A258" s="24">
        <v>1000382</v>
      </c>
      <c r="B258" s="25" t="s">
        <v>434</v>
      </c>
      <c r="C258" s="26" t="s">
        <v>53</v>
      </c>
      <c r="D258" s="26" t="s">
        <v>10</v>
      </c>
      <c r="E258" s="27">
        <v>7</v>
      </c>
      <c r="F258" s="28">
        <v>74.86</v>
      </c>
      <c r="G258" s="29">
        <v>1800</v>
      </c>
      <c r="H258" s="28" t="s">
        <v>1017</v>
      </c>
      <c r="I258" s="28"/>
      <c r="J258" s="22">
        <f>I258*E258</f>
        <v>0</v>
      </c>
    </row>
    <row r="259" spans="1:10" x14ac:dyDescent="0.3">
      <c r="A259" s="24" t="s">
        <v>435</v>
      </c>
      <c r="B259" s="25" t="s">
        <v>436</v>
      </c>
      <c r="C259" s="26" t="s">
        <v>53</v>
      </c>
      <c r="D259" s="26" t="s">
        <v>10</v>
      </c>
      <c r="E259" s="27">
        <v>5</v>
      </c>
      <c r="F259" s="28">
        <v>56.14</v>
      </c>
      <c r="G259" s="29">
        <v>840</v>
      </c>
      <c r="H259" s="28" t="s">
        <v>1017</v>
      </c>
      <c r="I259" s="28"/>
      <c r="J259" s="22">
        <f>I259*E259</f>
        <v>0</v>
      </c>
    </row>
    <row r="260" spans="1:10" x14ac:dyDescent="0.3">
      <c r="A260" s="24" t="s">
        <v>437</v>
      </c>
      <c r="B260" s="25" t="s">
        <v>438</v>
      </c>
      <c r="C260" s="26" t="s">
        <v>28</v>
      </c>
      <c r="D260" s="26" t="s">
        <v>6</v>
      </c>
      <c r="E260" s="27">
        <v>16.25</v>
      </c>
      <c r="F260" s="28">
        <v>113.43</v>
      </c>
      <c r="G260" s="29">
        <v>1080</v>
      </c>
      <c r="H260" s="28" t="s">
        <v>1017</v>
      </c>
      <c r="I260" s="28"/>
      <c r="J260" s="22">
        <f>I260*E260</f>
        <v>0</v>
      </c>
    </row>
    <row r="261" spans="1:10" x14ac:dyDescent="0.3">
      <c r="A261" s="24" t="s">
        <v>439</v>
      </c>
      <c r="B261" s="25" t="s">
        <v>440</v>
      </c>
      <c r="C261" s="26" t="s">
        <v>419</v>
      </c>
      <c r="D261" s="26" t="s">
        <v>6</v>
      </c>
      <c r="E261" s="27">
        <v>16.25</v>
      </c>
      <c r="F261" s="28">
        <v>123.75</v>
      </c>
      <c r="G261" s="29">
        <v>1050</v>
      </c>
      <c r="H261" s="28" t="s">
        <v>1017</v>
      </c>
      <c r="I261" s="28"/>
      <c r="J261" s="22">
        <f>I261*E261</f>
        <v>0</v>
      </c>
    </row>
    <row r="262" spans="1:10" x14ac:dyDescent="0.3">
      <c r="A262" s="24" t="s">
        <v>441</v>
      </c>
      <c r="B262" s="25" t="s">
        <v>442</v>
      </c>
      <c r="C262" s="26" t="s">
        <v>28</v>
      </c>
      <c r="D262" s="26" t="s">
        <v>10</v>
      </c>
      <c r="E262" s="27">
        <v>12.5</v>
      </c>
      <c r="F262" s="28">
        <v>53.44</v>
      </c>
      <c r="G262" s="29">
        <v>900</v>
      </c>
      <c r="H262" s="28" t="s">
        <v>1017</v>
      </c>
      <c r="I262" s="28"/>
      <c r="J262" s="22">
        <f>I262*E262</f>
        <v>0</v>
      </c>
    </row>
    <row r="263" spans="1:10" x14ac:dyDescent="0.3">
      <c r="A263" s="5" t="s">
        <v>443</v>
      </c>
      <c r="B263" s="6" t="s">
        <v>444</v>
      </c>
      <c r="C263" s="7" t="s">
        <v>28</v>
      </c>
      <c r="D263" s="7" t="s">
        <v>10</v>
      </c>
      <c r="E263" s="8">
        <v>15.5</v>
      </c>
      <c r="F263" s="9">
        <v>135</v>
      </c>
      <c r="G263" s="10">
        <v>900</v>
      </c>
      <c r="H263" s="9" t="s">
        <v>1017</v>
      </c>
      <c r="I263" s="9"/>
      <c r="J263" s="22">
        <f>I263*E263</f>
        <v>0</v>
      </c>
    </row>
    <row r="264" spans="1:10" x14ac:dyDescent="0.3">
      <c r="A264" s="5" t="s">
        <v>445</v>
      </c>
      <c r="B264" s="6" t="s">
        <v>446</v>
      </c>
      <c r="C264" s="7" t="s">
        <v>28</v>
      </c>
      <c r="D264" s="7" t="s">
        <v>10</v>
      </c>
      <c r="E264" s="8">
        <v>22.75</v>
      </c>
      <c r="F264" s="9">
        <v>207.58</v>
      </c>
      <c r="G264" s="29">
        <v>900</v>
      </c>
      <c r="H264" s="9" t="s">
        <v>1017</v>
      </c>
      <c r="I264" s="9"/>
      <c r="J264" s="22">
        <f>I264*E264</f>
        <v>0</v>
      </c>
    </row>
    <row r="265" spans="1:10" x14ac:dyDescent="0.3">
      <c r="A265" s="5" t="s">
        <v>447</v>
      </c>
      <c r="B265" s="6" t="s">
        <v>448</v>
      </c>
      <c r="C265" s="7" t="s">
        <v>56</v>
      </c>
      <c r="D265" s="7" t="s">
        <v>10</v>
      </c>
      <c r="E265" s="8">
        <v>19.25</v>
      </c>
      <c r="F265" s="9">
        <v>144.06</v>
      </c>
      <c r="G265" s="10">
        <v>500</v>
      </c>
      <c r="H265" s="9" t="s">
        <v>1017</v>
      </c>
      <c r="I265" s="9"/>
      <c r="J265" s="22">
        <f>I265*E265</f>
        <v>0</v>
      </c>
    </row>
    <row r="266" spans="1:10" x14ac:dyDescent="0.3">
      <c r="A266" s="5" t="s">
        <v>449</v>
      </c>
      <c r="B266" s="6" t="s">
        <v>450</v>
      </c>
      <c r="C266" s="7" t="s">
        <v>341</v>
      </c>
      <c r="D266" s="7" t="s">
        <v>10</v>
      </c>
      <c r="E266" s="8">
        <v>33</v>
      </c>
      <c r="F266" s="9">
        <v>141.79</v>
      </c>
      <c r="G266" s="10">
        <v>360</v>
      </c>
      <c r="H266" s="9" t="s">
        <v>1017</v>
      </c>
      <c r="I266" s="9"/>
      <c r="J266" s="22">
        <f>I266*E266</f>
        <v>0</v>
      </c>
    </row>
    <row r="267" spans="1:10" x14ac:dyDescent="0.3">
      <c r="A267" s="5" t="s">
        <v>451</v>
      </c>
      <c r="B267" s="6" t="s">
        <v>452</v>
      </c>
      <c r="C267" s="7" t="s">
        <v>341</v>
      </c>
      <c r="D267" s="7" t="s">
        <v>10</v>
      </c>
      <c r="E267" s="8">
        <v>38.5</v>
      </c>
      <c r="F267" s="9">
        <v>164.48</v>
      </c>
      <c r="G267" s="10">
        <v>360</v>
      </c>
      <c r="H267" s="9" t="s">
        <v>1017</v>
      </c>
      <c r="I267" s="9"/>
      <c r="J267" s="22">
        <f>I267*E267</f>
        <v>0</v>
      </c>
    </row>
    <row r="268" spans="1:10" x14ac:dyDescent="0.3">
      <c r="A268" s="5">
        <v>1000401</v>
      </c>
      <c r="B268" s="6" t="s">
        <v>453</v>
      </c>
      <c r="C268" s="7" t="s">
        <v>41</v>
      </c>
      <c r="D268" s="7" t="s">
        <v>129</v>
      </c>
      <c r="E268" s="8">
        <v>47.5</v>
      </c>
      <c r="F268" s="9">
        <v>232.95</v>
      </c>
      <c r="G268" s="10">
        <v>60</v>
      </c>
      <c r="H268" s="9" t="s">
        <v>1017</v>
      </c>
      <c r="I268" s="9"/>
      <c r="J268" s="22">
        <f>I268*E268</f>
        <v>0</v>
      </c>
    </row>
    <row r="269" spans="1:10" x14ac:dyDescent="0.3">
      <c r="A269" s="5">
        <v>1001544</v>
      </c>
      <c r="B269" s="6" t="s">
        <v>952</v>
      </c>
      <c r="C269" s="7" t="s">
        <v>56</v>
      </c>
      <c r="D269" s="7" t="s">
        <v>6</v>
      </c>
      <c r="E269" s="8">
        <v>36</v>
      </c>
      <c r="F269" s="9">
        <v>190</v>
      </c>
      <c r="G269" s="10">
        <v>600</v>
      </c>
      <c r="H269" s="9" t="s">
        <v>1017</v>
      </c>
      <c r="I269" s="9"/>
      <c r="J269" s="22">
        <f>I269*E269</f>
        <v>0</v>
      </c>
    </row>
    <row r="270" spans="1:10" x14ac:dyDescent="0.3">
      <c r="A270" s="30">
        <v>1000253</v>
      </c>
      <c r="B270" s="31" t="s">
        <v>1119</v>
      </c>
      <c r="C270" s="30" t="s">
        <v>41</v>
      </c>
      <c r="D270" s="32" t="s">
        <v>129</v>
      </c>
      <c r="E270" s="8">
        <v>23</v>
      </c>
      <c r="F270" s="9">
        <v>121.68</v>
      </c>
      <c r="G270" s="30">
        <v>60</v>
      </c>
      <c r="H270" s="30" t="s">
        <v>1030</v>
      </c>
      <c r="I270" s="30"/>
      <c r="J270" s="39">
        <v>0</v>
      </c>
    </row>
    <row r="271" spans="1:10" x14ac:dyDescent="0.3">
      <c r="A271" s="5">
        <v>1000956</v>
      </c>
      <c r="B271" s="6" t="s">
        <v>454</v>
      </c>
      <c r="C271" s="7" t="s">
        <v>28</v>
      </c>
      <c r="D271" s="7" t="s">
        <v>6</v>
      </c>
      <c r="E271" s="8">
        <v>13</v>
      </c>
      <c r="F271" s="9">
        <v>85</v>
      </c>
      <c r="G271" s="10">
        <v>790</v>
      </c>
      <c r="H271" s="9" t="s">
        <v>1017</v>
      </c>
      <c r="I271" s="9"/>
      <c r="J271" s="22">
        <f>I271*E271</f>
        <v>0</v>
      </c>
    </row>
    <row r="272" spans="1:10" x14ac:dyDescent="0.3">
      <c r="A272" s="5">
        <v>1001531</v>
      </c>
      <c r="B272" s="6" t="s">
        <v>1120</v>
      </c>
      <c r="C272" s="7" t="s">
        <v>56</v>
      </c>
      <c r="D272" s="7" t="s">
        <v>1121</v>
      </c>
      <c r="E272" s="8">
        <v>70</v>
      </c>
      <c r="F272" s="9">
        <v>381</v>
      </c>
      <c r="G272" s="10">
        <v>480</v>
      </c>
      <c r="H272" s="30" t="s">
        <v>1030</v>
      </c>
      <c r="I272" s="30"/>
      <c r="J272" s="39">
        <v>0</v>
      </c>
    </row>
    <row r="273" spans="1:10" x14ac:dyDescent="0.3">
      <c r="A273" s="5">
        <v>1001210</v>
      </c>
      <c r="B273" s="6" t="s">
        <v>1122</v>
      </c>
      <c r="C273" s="30" t="s">
        <v>455</v>
      </c>
      <c r="D273" s="32" t="s">
        <v>1123</v>
      </c>
      <c r="E273" s="8">
        <v>19.25</v>
      </c>
      <c r="F273" s="9">
        <v>34.96</v>
      </c>
      <c r="G273" s="30">
        <v>400</v>
      </c>
      <c r="H273" s="30" t="s">
        <v>1030</v>
      </c>
      <c r="I273" s="30"/>
      <c r="J273" s="39">
        <v>0</v>
      </c>
    </row>
    <row r="274" spans="1:10" x14ac:dyDescent="0.3">
      <c r="A274" s="5" t="s">
        <v>456</v>
      </c>
      <c r="B274" s="6" t="s">
        <v>457</v>
      </c>
      <c r="C274" s="7" t="s">
        <v>53</v>
      </c>
      <c r="D274" s="7" t="s">
        <v>6</v>
      </c>
      <c r="E274" s="8">
        <v>12.5</v>
      </c>
      <c r="F274" s="9">
        <v>74.86</v>
      </c>
      <c r="G274" s="10">
        <v>1600</v>
      </c>
      <c r="H274" s="9" t="s">
        <v>1017</v>
      </c>
      <c r="I274" s="9"/>
      <c r="J274" s="22">
        <f>I274*E274</f>
        <v>0</v>
      </c>
    </row>
    <row r="275" spans="1:10" x14ac:dyDescent="0.3">
      <c r="A275" s="5" t="s">
        <v>458</v>
      </c>
      <c r="B275" s="6" t="s">
        <v>459</v>
      </c>
      <c r="C275" s="7" t="s">
        <v>56</v>
      </c>
      <c r="D275" s="7" t="s">
        <v>6</v>
      </c>
      <c r="E275" s="8">
        <v>21.5</v>
      </c>
      <c r="F275" s="9">
        <v>51.76</v>
      </c>
      <c r="G275" s="10">
        <v>720</v>
      </c>
      <c r="H275" s="9" t="s">
        <v>1017</v>
      </c>
      <c r="I275" s="9"/>
      <c r="J275" s="22">
        <f>I275*E275</f>
        <v>0</v>
      </c>
    </row>
    <row r="276" spans="1:10" x14ac:dyDescent="0.3">
      <c r="A276" s="5" t="s">
        <v>460</v>
      </c>
      <c r="B276" s="6" t="s">
        <v>461</v>
      </c>
      <c r="C276" s="7" t="s">
        <v>56</v>
      </c>
      <c r="D276" s="7" t="s">
        <v>6</v>
      </c>
      <c r="E276" s="8">
        <v>37</v>
      </c>
      <c r="F276" s="9">
        <v>96.7</v>
      </c>
      <c r="G276" s="10">
        <v>700</v>
      </c>
      <c r="H276" s="9" t="s">
        <v>1017</v>
      </c>
      <c r="I276" s="9"/>
      <c r="J276" s="22">
        <f>I276*E276</f>
        <v>0</v>
      </c>
    </row>
    <row r="277" spans="1:10" x14ac:dyDescent="0.3">
      <c r="A277" s="5" t="s">
        <v>462</v>
      </c>
      <c r="B277" s="6" t="s">
        <v>463</v>
      </c>
      <c r="C277" s="7" t="s">
        <v>56</v>
      </c>
      <c r="D277" s="7" t="s">
        <v>6</v>
      </c>
      <c r="E277" s="8">
        <v>32</v>
      </c>
      <c r="F277" s="9">
        <v>111.16</v>
      </c>
      <c r="G277" s="10">
        <v>600</v>
      </c>
      <c r="H277" s="9" t="s">
        <v>1017</v>
      </c>
      <c r="I277" s="9"/>
      <c r="J277" s="22">
        <f>I277*E277</f>
        <v>0</v>
      </c>
    </row>
    <row r="278" spans="1:10" ht="25.2" x14ac:dyDescent="0.3">
      <c r="A278" s="5" t="s">
        <v>464</v>
      </c>
      <c r="B278" s="6" t="s">
        <v>465</v>
      </c>
      <c r="C278" s="7" t="s">
        <v>363</v>
      </c>
      <c r="D278" s="7" t="s">
        <v>361</v>
      </c>
      <c r="E278" s="8">
        <v>24</v>
      </c>
      <c r="F278" s="9">
        <v>243.31</v>
      </c>
      <c r="G278" s="10">
        <v>270</v>
      </c>
      <c r="H278" s="9" t="s">
        <v>1017</v>
      </c>
      <c r="I278" s="9"/>
      <c r="J278" s="22">
        <f>I278*E278</f>
        <v>0</v>
      </c>
    </row>
    <row r="279" spans="1:10" x14ac:dyDescent="0.3">
      <c r="A279" s="5" t="s">
        <v>466</v>
      </c>
      <c r="B279" s="6" t="s">
        <v>467</v>
      </c>
      <c r="C279" s="7" t="s">
        <v>165</v>
      </c>
      <c r="D279" s="7" t="s">
        <v>16</v>
      </c>
      <c r="E279" s="8">
        <v>34</v>
      </c>
      <c r="F279" s="9">
        <v>294.93</v>
      </c>
      <c r="G279" s="10">
        <v>160</v>
      </c>
      <c r="H279" s="9" t="s">
        <v>1017</v>
      </c>
      <c r="I279" s="9"/>
      <c r="J279" s="22">
        <f>I279*E279</f>
        <v>0</v>
      </c>
    </row>
    <row r="280" spans="1:10" x14ac:dyDescent="0.3">
      <c r="A280" s="5" t="s">
        <v>468</v>
      </c>
      <c r="B280" s="6" t="s">
        <v>469</v>
      </c>
      <c r="C280" s="7" t="s">
        <v>455</v>
      </c>
      <c r="D280" s="7" t="s">
        <v>16</v>
      </c>
      <c r="E280" s="8">
        <v>45</v>
      </c>
      <c r="F280" s="9">
        <v>408.37</v>
      </c>
      <c r="G280" s="10">
        <v>384</v>
      </c>
      <c r="H280" s="9" t="s">
        <v>1017</v>
      </c>
      <c r="I280" s="9"/>
      <c r="J280" s="22">
        <f>I280*E280</f>
        <v>0</v>
      </c>
    </row>
    <row r="281" spans="1:10" x14ac:dyDescent="0.3">
      <c r="A281" s="5" t="s">
        <v>954</v>
      </c>
      <c r="B281" s="6" t="s">
        <v>955</v>
      </c>
      <c r="C281" s="7" t="s">
        <v>96</v>
      </c>
      <c r="D281" s="7" t="s">
        <v>16</v>
      </c>
      <c r="E281" s="8">
        <v>30</v>
      </c>
      <c r="F281" s="9">
        <v>165</v>
      </c>
      <c r="G281" s="10">
        <v>400</v>
      </c>
      <c r="H281" s="9" t="s">
        <v>1017</v>
      </c>
      <c r="I281" s="9"/>
      <c r="J281" s="22">
        <f>I281*E281</f>
        <v>0</v>
      </c>
    </row>
    <row r="282" spans="1:10" x14ac:dyDescent="0.3">
      <c r="A282" s="5">
        <v>1000514</v>
      </c>
      <c r="B282" s="6" t="s">
        <v>470</v>
      </c>
      <c r="C282" s="7" t="s">
        <v>177</v>
      </c>
      <c r="D282" s="7" t="s">
        <v>471</v>
      </c>
      <c r="E282" s="8">
        <v>57</v>
      </c>
      <c r="F282" s="9">
        <v>237</v>
      </c>
      <c r="G282" s="10">
        <v>240</v>
      </c>
      <c r="H282" s="9" t="s">
        <v>1017</v>
      </c>
      <c r="I282" s="9"/>
      <c r="J282" s="22">
        <f>I282*E282</f>
        <v>0</v>
      </c>
    </row>
    <row r="283" spans="1:10" ht="37.799999999999997" x14ac:dyDescent="0.3">
      <c r="A283" s="35">
        <v>1001412</v>
      </c>
      <c r="B283" s="34" t="s">
        <v>976</v>
      </c>
      <c r="C283" s="35" t="s">
        <v>50</v>
      </c>
      <c r="D283" s="36" t="s">
        <v>42</v>
      </c>
      <c r="E283" s="37">
        <v>65</v>
      </c>
      <c r="F283" s="38">
        <v>229.68</v>
      </c>
      <c r="G283" s="35">
        <v>240</v>
      </c>
      <c r="H283" s="35" t="s">
        <v>1017</v>
      </c>
      <c r="I283" s="35"/>
      <c r="J283" s="22">
        <f>I283*E283</f>
        <v>0</v>
      </c>
    </row>
    <row r="284" spans="1:10" x14ac:dyDescent="0.3">
      <c r="A284" s="5" t="s">
        <v>472</v>
      </c>
      <c r="B284" s="6" t="s">
        <v>473</v>
      </c>
      <c r="C284" s="26" t="s">
        <v>59</v>
      </c>
      <c r="D284" s="26" t="s">
        <v>6</v>
      </c>
      <c r="E284" s="8">
        <v>50</v>
      </c>
      <c r="F284" s="9">
        <v>164.55</v>
      </c>
      <c r="G284" s="29">
        <v>600</v>
      </c>
      <c r="H284" s="9" t="s">
        <v>1017</v>
      </c>
      <c r="I284" s="9"/>
      <c r="J284" s="22">
        <f>I284*E284</f>
        <v>0</v>
      </c>
    </row>
    <row r="285" spans="1:10" x14ac:dyDescent="0.3">
      <c r="A285" s="5">
        <v>1000088</v>
      </c>
      <c r="B285" s="6" t="s">
        <v>474</v>
      </c>
      <c r="C285" s="7" t="s">
        <v>56</v>
      </c>
      <c r="D285" s="7" t="s">
        <v>6</v>
      </c>
      <c r="E285" s="8">
        <v>16.5</v>
      </c>
      <c r="F285" s="9">
        <v>142.12</v>
      </c>
      <c r="G285" s="10">
        <v>600</v>
      </c>
      <c r="H285" s="9" t="s">
        <v>1017</v>
      </c>
      <c r="I285" s="9"/>
      <c r="J285" s="22">
        <f>I285*E285</f>
        <v>0</v>
      </c>
    </row>
    <row r="286" spans="1:10" ht="25.2" x14ac:dyDescent="0.3">
      <c r="A286" s="5" t="s">
        <v>475</v>
      </c>
      <c r="B286" s="6" t="s">
        <v>476</v>
      </c>
      <c r="C286" s="7" t="s">
        <v>298</v>
      </c>
      <c r="D286" s="7" t="s">
        <v>248</v>
      </c>
      <c r="E286" s="8">
        <v>44</v>
      </c>
      <c r="F286" s="9">
        <v>262</v>
      </c>
      <c r="G286" s="10">
        <v>48</v>
      </c>
      <c r="H286" s="9" t="s">
        <v>1017</v>
      </c>
      <c r="I286" s="9"/>
      <c r="J286" s="22">
        <f>I286*E286</f>
        <v>0</v>
      </c>
    </row>
    <row r="287" spans="1:10" ht="25.2" x14ac:dyDescent="0.3">
      <c r="A287" s="5" t="s">
        <v>477</v>
      </c>
      <c r="B287" s="6" t="s">
        <v>478</v>
      </c>
      <c r="C287" s="7" t="s">
        <v>247</v>
      </c>
      <c r="D287" s="7" t="s">
        <v>248</v>
      </c>
      <c r="E287" s="8">
        <v>21</v>
      </c>
      <c r="F287" s="9">
        <v>106</v>
      </c>
      <c r="G287" s="10">
        <v>200</v>
      </c>
      <c r="H287" s="9" t="s">
        <v>1017</v>
      </c>
      <c r="I287" s="9"/>
      <c r="J287" s="22">
        <f>I287*E287</f>
        <v>0</v>
      </c>
    </row>
    <row r="288" spans="1:10" x14ac:dyDescent="0.3">
      <c r="A288" s="5" t="s">
        <v>479</v>
      </c>
      <c r="B288" s="6" t="s">
        <v>480</v>
      </c>
      <c r="C288" s="7" t="s">
        <v>53</v>
      </c>
      <c r="D288" s="7" t="s">
        <v>6</v>
      </c>
      <c r="E288" s="8">
        <v>13.5</v>
      </c>
      <c r="F288" s="9">
        <v>65.88</v>
      </c>
      <c r="G288" s="10">
        <v>900</v>
      </c>
      <c r="H288" s="9" t="s">
        <v>1017</v>
      </c>
      <c r="I288" s="9"/>
      <c r="J288" s="22">
        <f>I288*E288</f>
        <v>0</v>
      </c>
    </row>
    <row r="289" spans="1:10" ht="25.2" x14ac:dyDescent="0.3">
      <c r="A289" s="5" t="s">
        <v>481</v>
      </c>
      <c r="B289" s="6" t="s">
        <v>482</v>
      </c>
      <c r="C289" s="7" t="s">
        <v>247</v>
      </c>
      <c r="D289" s="7" t="s">
        <v>248</v>
      </c>
      <c r="E289" s="8">
        <v>18</v>
      </c>
      <c r="F289" s="9">
        <v>65.86</v>
      </c>
      <c r="G289" s="10">
        <v>200</v>
      </c>
      <c r="H289" s="9" t="s">
        <v>1017</v>
      </c>
      <c r="I289" s="9"/>
      <c r="J289" s="22">
        <f>I289*E289</f>
        <v>0</v>
      </c>
    </row>
    <row r="290" spans="1:10" x14ac:dyDescent="0.3">
      <c r="A290" s="5" t="s">
        <v>483</v>
      </c>
      <c r="B290" s="6" t="s">
        <v>484</v>
      </c>
      <c r="C290" s="7" t="s">
        <v>53</v>
      </c>
      <c r="D290" s="7" t="s">
        <v>6</v>
      </c>
      <c r="E290" s="8">
        <v>13</v>
      </c>
      <c r="F290" s="9">
        <v>60.11</v>
      </c>
      <c r="G290" s="10">
        <v>1200</v>
      </c>
      <c r="H290" s="9" t="s">
        <v>1017</v>
      </c>
      <c r="I290" s="9"/>
      <c r="J290" s="22">
        <f>I290*E290</f>
        <v>0</v>
      </c>
    </row>
    <row r="291" spans="1:10" x14ac:dyDescent="0.3">
      <c r="A291" s="5" t="s">
        <v>485</v>
      </c>
      <c r="B291" s="6" t="s">
        <v>486</v>
      </c>
      <c r="C291" s="7" t="s">
        <v>240</v>
      </c>
      <c r="D291" s="7" t="s">
        <v>6</v>
      </c>
      <c r="E291" s="8">
        <v>7.5</v>
      </c>
      <c r="F291" s="9">
        <v>56.14</v>
      </c>
      <c r="G291" s="10">
        <v>1620</v>
      </c>
      <c r="H291" s="9" t="s">
        <v>1017</v>
      </c>
      <c r="I291" s="9"/>
      <c r="J291" s="22">
        <f>I291*E291</f>
        <v>0</v>
      </c>
    </row>
    <row r="292" spans="1:10" ht="25.2" x14ac:dyDescent="0.3">
      <c r="A292" s="5">
        <v>1000673</v>
      </c>
      <c r="B292" s="6" t="s">
        <v>487</v>
      </c>
      <c r="C292" s="7" t="s">
        <v>128</v>
      </c>
      <c r="D292" s="7" t="s">
        <v>248</v>
      </c>
      <c r="E292" s="8">
        <v>55</v>
      </c>
      <c r="F292" s="9">
        <v>165</v>
      </c>
      <c r="G292" s="10">
        <v>60</v>
      </c>
      <c r="H292" s="9" t="s">
        <v>1017</v>
      </c>
      <c r="I292" s="9"/>
      <c r="J292" s="22">
        <f>I292*E292</f>
        <v>0</v>
      </c>
    </row>
    <row r="293" spans="1:10" x14ac:dyDescent="0.3">
      <c r="A293" s="5" t="s">
        <v>1124</v>
      </c>
      <c r="B293" s="6" t="s">
        <v>1125</v>
      </c>
      <c r="C293" s="30" t="s">
        <v>65</v>
      </c>
      <c r="D293" s="32" t="s">
        <v>1045</v>
      </c>
      <c r="E293" s="8">
        <v>90</v>
      </c>
      <c r="F293" s="9">
        <v>1024.4000000000001</v>
      </c>
      <c r="G293" s="30">
        <v>240</v>
      </c>
      <c r="H293" s="30" t="s">
        <v>1030</v>
      </c>
      <c r="I293" s="30"/>
      <c r="J293" s="39">
        <v>0</v>
      </c>
    </row>
    <row r="294" spans="1:10" x14ac:dyDescent="0.3">
      <c r="A294" s="5" t="s">
        <v>488</v>
      </c>
      <c r="B294" s="6" t="s">
        <v>489</v>
      </c>
      <c r="C294" s="7" t="s">
        <v>28</v>
      </c>
      <c r="D294" s="7" t="s">
        <v>25</v>
      </c>
      <c r="E294" s="8">
        <v>42</v>
      </c>
      <c r="F294" s="9">
        <v>185.62</v>
      </c>
      <c r="G294" s="10">
        <v>720</v>
      </c>
      <c r="H294" s="9" t="s">
        <v>1017</v>
      </c>
      <c r="I294" s="9"/>
      <c r="J294" s="22">
        <f>I294*E294</f>
        <v>0</v>
      </c>
    </row>
    <row r="295" spans="1:10" ht="37.799999999999997" x14ac:dyDescent="0.3">
      <c r="A295" s="5" t="s">
        <v>1126</v>
      </c>
      <c r="B295" s="6" t="s">
        <v>1127</v>
      </c>
      <c r="C295" s="30" t="s">
        <v>1128</v>
      </c>
      <c r="D295" s="32" t="s">
        <v>1129</v>
      </c>
      <c r="E295" s="8">
        <v>14.85</v>
      </c>
      <c r="F295" s="9">
        <v>49.09</v>
      </c>
      <c r="G295" s="30">
        <v>400</v>
      </c>
      <c r="H295" s="30" t="s">
        <v>1030</v>
      </c>
      <c r="I295" s="30"/>
      <c r="J295" s="39">
        <v>0</v>
      </c>
    </row>
    <row r="296" spans="1:10" x14ac:dyDescent="0.3">
      <c r="A296" s="5">
        <v>1000617</v>
      </c>
      <c r="B296" s="6" t="s">
        <v>1130</v>
      </c>
      <c r="C296" s="30" t="s">
        <v>1131</v>
      </c>
      <c r="D296" s="32" t="s">
        <v>1045</v>
      </c>
      <c r="E296" s="8">
        <v>21</v>
      </c>
      <c r="F296" s="9">
        <v>98.19</v>
      </c>
      <c r="G296" s="30">
        <v>1200</v>
      </c>
      <c r="H296" s="30" t="s">
        <v>1030</v>
      </c>
      <c r="I296" s="30"/>
      <c r="J296" s="39">
        <v>0</v>
      </c>
    </row>
    <row r="297" spans="1:10" x14ac:dyDescent="0.3">
      <c r="A297" s="5" t="s">
        <v>490</v>
      </c>
      <c r="B297" s="6" t="s">
        <v>491</v>
      </c>
      <c r="C297" s="7" t="s">
        <v>53</v>
      </c>
      <c r="D297" s="7" t="s">
        <v>10</v>
      </c>
      <c r="E297" s="8">
        <v>31.5</v>
      </c>
      <c r="F297" s="9">
        <v>125.77</v>
      </c>
      <c r="G297" s="10">
        <v>1620</v>
      </c>
      <c r="H297" s="9" t="s">
        <v>1017</v>
      </c>
      <c r="I297" s="9"/>
      <c r="J297" s="22">
        <f>I297*E297</f>
        <v>0</v>
      </c>
    </row>
    <row r="298" spans="1:10" x14ac:dyDescent="0.3">
      <c r="A298" s="5" t="s">
        <v>492</v>
      </c>
      <c r="B298" s="6" t="s">
        <v>493</v>
      </c>
      <c r="C298" s="7" t="s">
        <v>53</v>
      </c>
      <c r="D298" s="7" t="s">
        <v>10</v>
      </c>
      <c r="E298" s="8">
        <v>12.5</v>
      </c>
      <c r="F298" s="9">
        <v>56.14</v>
      </c>
      <c r="G298" s="10">
        <v>1620</v>
      </c>
      <c r="H298" s="9" t="s">
        <v>1017</v>
      </c>
      <c r="I298" s="9"/>
      <c r="J298" s="22">
        <f>I298*E298</f>
        <v>0</v>
      </c>
    </row>
    <row r="299" spans="1:10" x14ac:dyDescent="0.3">
      <c r="A299" s="5" t="s">
        <v>494</v>
      </c>
      <c r="B299" s="6" t="s">
        <v>495</v>
      </c>
      <c r="C299" s="7" t="s">
        <v>53</v>
      </c>
      <c r="D299" s="7" t="s">
        <v>10</v>
      </c>
      <c r="E299" s="8">
        <v>17.5</v>
      </c>
      <c r="F299" s="9">
        <v>71.900000000000006</v>
      </c>
      <c r="G299" s="10">
        <v>1620</v>
      </c>
      <c r="H299" s="9" t="s">
        <v>1017</v>
      </c>
      <c r="I299" s="9"/>
      <c r="J299" s="22">
        <f>I299*E299</f>
        <v>0</v>
      </c>
    </row>
    <row r="300" spans="1:10" x14ac:dyDescent="0.3">
      <c r="A300" s="5" t="s">
        <v>496</v>
      </c>
      <c r="B300" s="6" t="s">
        <v>497</v>
      </c>
      <c r="C300" s="7" t="s">
        <v>53</v>
      </c>
      <c r="D300" s="7" t="s">
        <v>6</v>
      </c>
      <c r="E300" s="8">
        <v>11</v>
      </c>
      <c r="F300" s="9">
        <v>45.67</v>
      </c>
      <c r="G300" s="10">
        <v>1440</v>
      </c>
      <c r="H300" s="9" t="s">
        <v>1017</v>
      </c>
      <c r="I300" s="9"/>
      <c r="J300" s="22">
        <f>I300*E300</f>
        <v>0</v>
      </c>
    </row>
    <row r="301" spans="1:10" x14ac:dyDescent="0.3">
      <c r="A301" s="5" t="s">
        <v>498</v>
      </c>
      <c r="B301" s="6" t="s">
        <v>499</v>
      </c>
      <c r="C301" s="7" t="s">
        <v>53</v>
      </c>
      <c r="D301" s="7" t="s">
        <v>6</v>
      </c>
      <c r="E301" s="8">
        <v>13</v>
      </c>
      <c r="F301" s="9">
        <v>62.79</v>
      </c>
      <c r="G301" s="10">
        <v>1440</v>
      </c>
      <c r="H301" s="9" t="s">
        <v>1017</v>
      </c>
      <c r="I301" s="9"/>
      <c r="J301" s="22">
        <f>I301*E301</f>
        <v>0</v>
      </c>
    </row>
    <row r="302" spans="1:10" x14ac:dyDescent="0.3">
      <c r="A302" s="5" t="s">
        <v>919</v>
      </c>
      <c r="B302" s="6" t="s">
        <v>920</v>
      </c>
      <c r="C302" s="7" t="s">
        <v>24</v>
      </c>
      <c r="D302" s="7" t="s">
        <v>288</v>
      </c>
      <c r="E302" s="8">
        <v>28.75</v>
      </c>
      <c r="F302" s="9">
        <v>132</v>
      </c>
      <c r="G302" s="10">
        <v>960</v>
      </c>
      <c r="H302" s="9" t="s">
        <v>1017</v>
      </c>
      <c r="I302" s="9"/>
      <c r="J302" s="22">
        <f>I302*E302</f>
        <v>0</v>
      </c>
    </row>
    <row r="303" spans="1:10" ht="25.2" x14ac:dyDescent="0.3">
      <c r="A303" s="5">
        <v>1000072</v>
      </c>
      <c r="B303" s="6" t="s">
        <v>1132</v>
      </c>
      <c r="C303" s="30" t="s">
        <v>1133</v>
      </c>
      <c r="D303" s="32" t="s">
        <v>1134</v>
      </c>
      <c r="E303" s="8">
        <v>15.5</v>
      </c>
      <c r="F303" s="9">
        <v>115.7</v>
      </c>
      <c r="G303" s="30">
        <v>1500</v>
      </c>
      <c r="H303" s="30" t="s">
        <v>1030</v>
      </c>
      <c r="I303" s="30"/>
      <c r="J303" s="39">
        <v>0</v>
      </c>
    </row>
    <row r="304" spans="1:10" x14ac:dyDescent="0.3">
      <c r="A304" s="5" t="s">
        <v>500</v>
      </c>
      <c r="B304" s="6" t="s">
        <v>501</v>
      </c>
      <c r="C304" s="7" t="s">
        <v>28</v>
      </c>
      <c r="D304" s="7" t="s">
        <v>91</v>
      </c>
      <c r="E304" s="8">
        <v>36</v>
      </c>
      <c r="F304" s="9">
        <v>243.75</v>
      </c>
      <c r="G304" s="10">
        <v>720</v>
      </c>
      <c r="H304" s="9" t="s">
        <v>1017</v>
      </c>
      <c r="I304" s="9"/>
      <c r="J304" s="22">
        <f>I304*E304</f>
        <v>0</v>
      </c>
    </row>
    <row r="305" spans="1:10" x14ac:dyDescent="0.3">
      <c r="A305" s="5" t="s">
        <v>502</v>
      </c>
      <c r="B305" s="6" t="s">
        <v>503</v>
      </c>
      <c r="C305" s="7" t="s">
        <v>56</v>
      </c>
      <c r="D305" s="7" t="s">
        <v>10</v>
      </c>
      <c r="E305" s="8">
        <v>30</v>
      </c>
      <c r="F305" s="9">
        <v>198.5</v>
      </c>
      <c r="G305" s="10">
        <v>500</v>
      </c>
      <c r="H305" s="9" t="s">
        <v>1017</v>
      </c>
      <c r="I305" s="9"/>
      <c r="J305" s="22">
        <f>I305*E305</f>
        <v>0</v>
      </c>
    </row>
    <row r="306" spans="1:10" x14ac:dyDescent="0.3">
      <c r="A306" s="5" t="s">
        <v>504</v>
      </c>
      <c r="B306" s="6" t="s">
        <v>505</v>
      </c>
      <c r="C306" s="7" t="s">
        <v>53</v>
      </c>
      <c r="D306" s="7" t="s">
        <v>10</v>
      </c>
      <c r="E306" s="8">
        <v>17.5</v>
      </c>
      <c r="F306" s="9">
        <v>174.69</v>
      </c>
      <c r="G306" s="10">
        <v>960</v>
      </c>
      <c r="H306" s="9" t="s">
        <v>1017</v>
      </c>
      <c r="I306" s="9"/>
      <c r="J306" s="22">
        <f>I306*E306</f>
        <v>0</v>
      </c>
    </row>
    <row r="307" spans="1:10" x14ac:dyDescent="0.3">
      <c r="A307" s="5" t="s">
        <v>506</v>
      </c>
      <c r="B307" s="6" t="s">
        <v>507</v>
      </c>
      <c r="C307" s="30" t="s">
        <v>508</v>
      </c>
      <c r="D307" s="32" t="s">
        <v>109</v>
      </c>
      <c r="E307" s="8">
        <v>12.5</v>
      </c>
      <c r="F307" s="9">
        <v>26.25</v>
      </c>
      <c r="G307" s="30">
        <v>1800</v>
      </c>
      <c r="H307" s="9" t="s">
        <v>1017</v>
      </c>
      <c r="I307" s="9"/>
      <c r="J307" s="22">
        <f>I307*E307</f>
        <v>0</v>
      </c>
    </row>
    <row r="308" spans="1:10" x14ac:dyDescent="0.3">
      <c r="A308" s="5" t="s">
        <v>509</v>
      </c>
      <c r="B308" s="6" t="s">
        <v>510</v>
      </c>
      <c r="C308" s="7" t="s">
        <v>208</v>
      </c>
      <c r="D308" s="7" t="s">
        <v>109</v>
      </c>
      <c r="E308" s="8">
        <v>22.5</v>
      </c>
      <c r="F308" s="9">
        <v>79.17</v>
      </c>
      <c r="G308" s="10">
        <v>1200</v>
      </c>
      <c r="H308" s="9" t="s">
        <v>1017</v>
      </c>
      <c r="I308" s="9"/>
      <c r="J308" s="22">
        <f>I308*E308</f>
        <v>0</v>
      </c>
    </row>
    <row r="309" spans="1:10" ht="25.2" x14ac:dyDescent="0.3">
      <c r="A309" s="35" t="s">
        <v>977</v>
      </c>
      <c r="B309" s="34" t="s">
        <v>978</v>
      </c>
      <c r="C309" s="35" t="s">
        <v>50</v>
      </c>
      <c r="D309" s="36" t="s">
        <v>969</v>
      </c>
      <c r="E309" s="37">
        <v>32</v>
      </c>
      <c r="F309" s="38">
        <v>64.884374999999991</v>
      </c>
      <c r="G309" s="35">
        <v>200</v>
      </c>
      <c r="H309" s="35" t="s">
        <v>1017</v>
      </c>
      <c r="I309" s="35"/>
      <c r="J309" s="22">
        <f>I309*E309</f>
        <v>0</v>
      </c>
    </row>
    <row r="310" spans="1:10" x14ac:dyDescent="0.3">
      <c r="A310" s="35" t="s">
        <v>979</v>
      </c>
      <c r="B310" s="34" t="s">
        <v>980</v>
      </c>
      <c r="C310" s="35" t="s">
        <v>21</v>
      </c>
      <c r="D310" s="36" t="s">
        <v>970</v>
      </c>
      <c r="E310" s="37">
        <v>35</v>
      </c>
      <c r="F310" s="38">
        <v>195.93</v>
      </c>
      <c r="G310" s="35">
        <v>360</v>
      </c>
      <c r="H310" s="35" t="s">
        <v>1017</v>
      </c>
      <c r="I310" s="35"/>
      <c r="J310" s="22">
        <f>I310*E310</f>
        <v>0</v>
      </c>
    </row>
    <row r="311" spans="1:10" x14ac:dyDescent="0.3">
      <c r="A311" s="35" t="s">
        <v>981</v>
      </c>
      <c r="B311" s="34" t="s">
        <v>982</v>
      </c>
      <c r="C311" s="35" t="s">
        <v>21</v>
      </c>
      <c r="D311" s="36" t="s">
        <v>10</v>
      </c>
      <c r="E311" s="37">
        <v>65</v>
      </c>
      <c r="F311" s="38">
        <v>218.9</v>
      </c>
      <c r="G311" s="35">
        <v>360</v>
      </c>
      <c r="H311" s="35" t="s">
        <v>1017</v>
      </c>
      <c r="I311" s="35"/>
      <c r="J311" s="22">
        <f>I311*E311</f>
        <v>0</v>
      </c>
    </row>
    <row r="312" spans="1:10" ht="25.2" x14ac:dyDescent="0.3">
      <c r="A312" s="35" t="s">
        <v>983</v>
      </c>
      <c r="B312" s="34" t="s">
        <v>984</v>
      </c>
      <c r="C312" s="35" t="s">
        <v>50</v>
      </c>
      <c r="D312" s="36" t="s">
        <v>969</v>
      </c>
      <c r="E312" s="37">
        <v>43.71</v>
      </c>
      <c r="F312" s="38">
        <v>139.68</v>
      </c>
      <c r="G312" s="35">
        <v>200</v>
      </c>
      <c r="H312" s="35" t="s">
        <v>1017</v>
      </c>
      <c r="I312" s="35"/>
      <c r="J312" s="22">
        <f>I312*E312</f>
        <v>0</v>
      </c>
    </row>
    <row r="313" spans="1:10" x14ac:dyDescent="0.3">
      <c r="A313" s="35" t="s">
        <v>985</v>
      </c>
      <c r="B313" s="34" t="s">
        <v>986</v>
      </c>
      <c r="C313" s="35" t="s">
        <v>21</v>
      </c>
      <c r="D313" s="36" t="s">
        <v>10</v>
      </c>
      <c r="E313" s="37">
        <v>62</v>
      </c>
      <c r="F313" s="38">
        <v>195.50624999999999</v>
      </c>
      <c r="G313" s="35">
        <v>600</v>
      </c>
      <c r="H313" s="35" t="s">
        <v>1017</v>
      </c>
      <c r="I313" s="35"/>
      <c r="J313" s="22">
        <f>I313*E313</f>
        <v>0</v>
      </c>
    </row>
    <row r="314" spans="1:10" ht="25.2" x14ac:dyDescent="0.3">
      <c r="A314" s="35" t="s">
        <v>987</v>
      </c>
      <c r="B314" s="34" t="s">
        <v>988</v>
      </c>
      <c r="C314" s="35" t="s">
        <v>989</v>
      </c>
      <c r="D314" s="36" t="s">
        <v>990</v>
      </c>
      <c r="E314" s="37">
        <v>27.4</v>
      </c>
      <c r="F314" s="38">
        <v>99.82</v>
      </c>
      <c r="G314" s="35">
        <v>300</v>
      </c>
      <c r="H314" s="35" t="s">
        <v>1017</v>
      </c>
      <c r="I314" s="35"/>
      <c r="J314" s="22">
        <f>I314*E314</f>
        <v>0</v>
      </c>
    </row>
    <row r="315" spans="1:10" x14ac:dyDescent="0.3">
      <c r="A315" s="5" t="s">
        <v>511</v>
      </c>
      <c r="B315" s="6" t="s">
        <v>512</v>
      </c>
      <c r="C315" s="7" t="s">
        <v>513</v>
      </c>
      <c r="D315" s="7" t="s">
        <v>6</v>
      </c>
      <c r="E315" s="8">
        <v>67</v>
      </c>
      <c r="F315" s="9">
        <v>138.80000000000001</v>
      </c>
      <c r="G315" s="10">
        <v>600</v>
      </c>
      <c r="H315" s="9" t="s">
        <v>1017</v>
      </c>
      <c r="I315" s="9"/>
      <c r="J315" s="22">
        <f>I315*E315</f>
        <v>0</v>
      </c>
    </row>
    <row r="316" spans="1:10" x14ac:dyDescent="0.3">
      <c r="A316" s="5">
        <v>1000735</v>
      </c>
      <c r="B316" s="6" t="s">
        <v>967</v>
      </c>
      <c r="C316" s="7" t="s">
        <v>53</v>
      </c>
      <c r="D316" s="7" t="s">
        <v>10</v>
      </c>
      <c r="E316" s="8">
        <v>30</v>
      </c>
      <c r="F316" s="9">
        <v>305.5</v>
      </c>
      <c r="G316" s="30">
        <v>1200</v>
      </c>
      <c r="H316" s="9" t="s">
        <v>1017</v>
      </c>
      <c r="I316" s="9"/>
      <c r="J316" s="22">
        <f>I316*E316</f>
        <v>0</v>
      </c>
    </row>
    <row r="317" spans="1:10" x14ac:dyDescent="0.3">
      <c r="A317" s="5" t="s">
        <v>514</v>
      </c>
      <c r="B317" s="6" t="s">
        <v>515</v>
      </c>
      <c r="C317" s="7" t="s">
        <v>28</v>
      </c>
      <c r="D317" s="7" t="s">
        <v>91</v>
      </c>
      <c r="E317" s="8">
        <v>42</v>
      </c>
      <c r="F317" s="9">
        <v>204.18</v>
      </c>
      <c r="G317" s="10">
        <v>480</v>
      </c>
      <c r="H317" s="9" t="s">
        <v>1017</v>
      </c>
      <c r="I317" s="9"/>
      <c r="J317" s="22">
        <f>I317*E317</f>
        <v>0</v>
      </c>
    </row>
    <row r="318" spans="1:10" x14ac:dyDescent="0.3">
      <c r="A318" s="5">
        <v>1001543</v>
      </c>
      <c r="B318" s="6" t="s">
        <v>942</v>
      </c>
      <c r="C318" s="7" t="s">
        <v>15</v>
      </c>
      <c r="D318" s="7" t="s">
        <v>16</v>
      </c>
      <c r="E318" s="8">
        <v>50</v>
      </c>
      <c r="F318" s="9">
        <v>325</v>
      </c>
      <c r="G318" s="10">
        <v>300</v>
      </c>
      <c r="H318" s="9" t="s">
        <v>1017</v>
      </c>
      <c r="I318" s="9"/>
      <c r="J318" s="22">
        <f>I318*E318</f>
        <v>0</v>
      </c>
    </row>
    <row r="319" spans="1:10" x14ac:dyDescent="0.3">
      <c r="A319" s="5" t="s">
        <v>516</v>
      </c>
      <c r="B319" s="6" t="s">
        <v>517</v>
      </c>
      <c r="C319" s="7" t="s">
        <v>518</v>
      </c>
      <c r="D319" s="7" t="s">
        <v>16</v>
      </c>
      <c r="E319" s="8">
        <v>33</v>
      </c>
      <c r="F319" s="9">
        <v>109</v>
      </c>
      <c r="G319" s="10">
        <v>300</v>
      </c>
      <c r="H319" s="9" t="s">
        <v>1017</v>
      </c>
      <c r="I319" s="9"/>
      <c r="J319" s="22">
        <f>I319*E319</f>
        <v>0</v>
      </c>
    </row>
    <row r="320" spans="1:10" x14ac:dyDescent="0.3">
      <c r="A320" s="5" t="s">
        <v>519</v>
      </c>
      <c r="B320" s="6" t="s">
        <v>520</v>
      </c>
      <c r="C320" s="7" t="s">
        <v>128</v>
      </c>
      <c r="D320" s="7" t="s">
        <v>521</v>
      </c>
      <c r="E320" s="8">
        <v>48</v>
      </c>
      <c r="F320" s="9">
        <v>154.65</v>
      </c>
      <c r="G320" s="10">
        <v>60</v>
      </c>
      <c r="H320" s="9" t="s">
        <v>1017</v>
      </c>
      <c r="I320" s="9"/>
      <c r="J320" s="22">
        <f>I320*E320</f>
        <v>0</v>
      </c>
    </row>
    <row r="321" spans="1:10" x14ac:dyDescent="0.3">
      <c r="A321" s="5" t="s">
        <v>522</v>
      </c>
      <c r="B321" s="6" t="s">
        <v>523</v>
      </c>
      <c r="C321" s="7" t="s">
        <v>56</v>
      </c>
      <c r="D321" s="7" t="s">
        <v>10</v>
      </c>
      <c r="E321" s="8">
        <v>35</v>
      </c>
      <c r="F321" s="9">
        <v>174.69</v>
      </c>
      <c r="G321" s="10">
        <v>400</v>
      </c>
      <c r="H321" s="9" t="s">
        <v>1017</v>
      </c>
      <c r="I321" s="9"/>
      <c r="J321" s="22">
        <f>I321*E321</f>
        <v>0</v>
      </c>
    </row>
    <row r="322" spans="1:10" x14ac:dyDescent="0.3">
      <c r="A322" s="5">
        <v>1000074</v>
      </c>
      <c r="B322" s="6" t="s">
        <v>1135</v>
      </c>
      <c r="C322" s="30" t="s">
        <v>1136</v>
      </c>
      <c r="D322" s="32" t="s">
        <v>1137</v>
      </c>
      <c r="E322" s="8">
        <v>8.5</v>
      </c>
      <c r="F322" s="9">
        <v>70.33</v>
      </c>
      <c r="G322" s="30">
        <v>2000</v>
      </c>
      <c r="H322" s="30" t="s">
        <v>1030</v>
      </c>
      <c r="I322" s="30"/>
      <c r="J322" s="39">
        <v>0</v>
      </c>
    </row>
    <row r="323" spans="1:10" x14ac:dyDescent="0.3">
      <c r="A323" s="5" t="s">
        <v>524</v>
      </c>
      <c r="B323" s="6" t="s">
        <v>525</v>
      </c>
      <c r="C323" s="7" t="s">
        <v>56</v>
      </c>
      <c r="D323" s="7" t="s">
        <v>10</v>
      </c>
      <c r="E323" s="8">
        <v>43</v>
      </c>
      <c r="F323" s="9">
        <v>198.5</v>
      </c>
      <c r="G323" s="10">
        <v>400</v>
      </c>
      <c r="H323" s="9" t="s">
        <v>1017</v>
      </c>
      <c r="I323" s="9"/>
      <c r="J323" s="22">
        <f>I323*E323</f>
        <v>0</v>
      </c>
    </row>
    <row r="324" spans="1:10" x14ac:dyDescent="0.3">
      <c r="A324" s="5" t="s">
        <v>526</v>
      </c>
      <c r="B324" s="6" t="s">
        <v>527</v>
      </c>
      <c r="C324" s="7" t="s">
        <v>56</v>
      </c>
      <c r="D324" s="7" t="s">
        <v>10</v>
      </c>
      <c r="E324" s="8">
        <v>63</v>
      </c>
      <c r="F324" s="9">
        <v>181.5</v>
      </c>
      <c r="G324" s="10">
        <v>300</v>
      </c>
      <c r="H324" s="9" t="s">
        <v>1017</v>
      </c>
      <c r="I324" s="9"/>
      <c r="J324" s="22">
        <f>I324*E324</f>
        <v>0</v>
      </c>
    </row>
    <row r="325" spans="1:10" x14ac:dyDescent="0.3">
      <c r="A325" s="5">
        <v>1000397</v>
      </c>
      <c r="B325" s="6" t="s">
        <v>528</v>
      </c>
      <c r="C325" s="7" t="s">
        <v>142</v>
      </c>
      <c r="D325" s="7" t="s">
        <v>10</v>
      </c>
      <c r="E325" s="8">
        <v>67.5</v>
      </c>
      <c r="F325" s="9">
        <v>224.6</v>
      </c>
      <c r="G325" s="10">
        <v>200</v>
      </c>
      <c r="H325" s="9" t="s">
        <v>1017</v>
      </c>
      <c r="I325" s="9"/>
      <c r="J325" s="22">
        <f>I325*E325</f>
        <v>0</v>
      </c>
    </row>
    <row r="326" spans="1:10" x14ac:dyDescent="0.3">
      <c r="A326" s="5">
        <v>1000073</v>
      </c>
      <c r="B326" s="6" t="s">
        <v>1138</v>
      </c>
      <c r="C326" s="30" t="s">
        <v>1131</v>
      </c>
      <c r="D326" s="32" t="s">
        <v>1137</v>
      </c>
      <c r="E326" s="8">
        <v>14</v>
      </c>
      <c r="F326" s="9">
        <v>77.34</v>
      </c>
      <c r="G326" s="30">
        <v>300</v>
      </c>
      <c r="H326" s="30" t="s">
        <v>1030</v>
      </c>
      <c r="I326" s="30"/>
      <c r="J326" s="39">
        <v>0</v>
      </c>
    </row>
    <row r="327" spans="1:10" x14ac:dyDescent="0.3">
      <c r="A327" s="5">
        <v>1001240</v>
      </c>
      <c r="B327" s="6" t="s">
        <v>529</v>
      </c>
      <c r="C327" s="7" t="s">
        <v>341</v>
      </c>
      <c r="D327" s="7" t="s">
        <v>6</v>
      </c>
      <c r="E327" s="8">
        <v>36.5</v>
      </c>
      <c r="F327" s="9">
        <v>108.28</v>
      </c>
      <c r="G327" s="10">
        <v>1050</v>
      </c>
      <c r="H327" s="9" t="s">
        <v>1017</v>
      </c>
      <c r="I327" s="9"/>
      <c r="J327" s="22">
        <f>I327*E327</f>
        <v>0</v>
      </c>
    </row>
    <row r="328" spans="1:10" x14ac:dyDescent="0.3">
      <c r="A328" s="5">
        <v>1000356</v>
      </c>
      <c r="B328" s="6" t="s">
        <v>530</v>
      </c>
      <c r="C328" s="7" t="s">
        <v>208</v>
      </c>
      <c r="D328" s="7" t="s">
        <v>6</v>
      </c>
      <c r="E328" s="8">
        <v>40</v>
      </c>
      <c r="F328" s="9">
        <v>97.55</v>
      </c>
      <c r="G328" s="10">
        <v>1200</v>
      </c>
      <c r="H328" s="9" t="s">
        <v>1017</v>
      </c>
      <c r="I328" s="9"/>
      <c r="J328" s="22">
        <f>I328*E328</f>
        <v>0</v>
      </c>
    </row>
    <row r="329" spans="1:10" x14ac:dyDescent="0.3">
      <c r="A329" s="5" t="s">
        <v>531</v>
      </c>
      <c r="B329" s="6" t="s">
        <v>532</v>
      </c>
      <c r="C329" s="7" t="s">
        <v>9</v>
      </c>
      <c r="D329" s="7" t="s">
        <v>10</v>
      </c>
      <c r="E329" s="8">
        <v>50</v>
      </c>
      <c r="F329" s="9">
        <v>158.81</v>
      </c>
      <c r="G329" s="10">
        <v>420</v>
      </c>
      <c r="H329" s="9" t="s">
        <v>1017</v>
      </c>
      <c r="I329" s="9"/>
      <c r="J329" s="22">
        <f>I329*E329</f>
        <v>0</v>
      </c>
    </row>
    <row r="330" spans="1:10" x14ac:dyDescent="0.3">
      <c r="A330" s="5" t="s">
        <v>533</v>
      </c>
      <c r="B330" s="6" t="s">
        <v>534</v>
      </c>
      <c r="C330" s="7" t="s">
        <v>326</v>
      </c>
      <c r="D330" s="7" t="s">
        <v>6</v>
      </c>
      <c r="E330" s="8">
        <v>27</v>
      </c>
      <c r="F330" s="9">
        <v>190.78</v>
      </c>
      <c r="G330" s="10">
        <v>500</v>
      </c>
      <c r="H330" s="9" t="s">
        <v>1017</v>
      </c>
      <c r="I330" s="9"/>
      <c r="J330" s="22">
        <f>I330*E330</f>
        <v>0</v>
      </c>
    </row>
    <row r="331" spans="1:10" x14ac:dyDescent="0.3">
      <c r="A331" s="5" t="s">
        <v>535</v>
      </c>
      <c r="B331" s="6" t="s">
        <v>536</v>
      </c>
      <c r="C331" s="7" t="s">
        <v>326</v>
      </c>
      <c r="D331" s="7" t="s">
        <v>6</v>
      </c>
      <c r="E331" s="8">
        <v>29.5</v>
      </c>
      <c r="F331" s="9">
        <v>238.21</v>
      </c>
      <c r="G331" s="10">
        <v>500</v>
      </c>
      <c r="H331" s="9" t="s">
        <v>1017</v>
      </c>
      <c r="I331" s="9"/>
      <c r="J331" s="22">
        <f>I331*E331</f>
        <v>0</v>
      </c>
    </row>
    <row r="332" spans="1:10" x14ac:dyDescent="0.3">
      <c r="A332" s="5">
        <v>1000076</v>
      </c>
      <c r="B332" s="6" t="s">
        <v>1139</v>
      </c>
      <c r="C332" s="30" t="s">
        <v>1140</v>
      </c>
      <c r="D332" s="32" t="s">
        <v>1137</v>
      </c>
      <c r="E332" s="8">
        <v>14</v>
      </c>
      <c r="F332" s="9">
        <v>319.68</v>
      </c>
      <c r="G332" s="30">
        <v>290</v>
      </c>
      <c r="H332" s="30" t="s">
        <v>1030</v>
      </c>
      <c r="I332" s="30"/>
      <c r="J332" s="39">
        <v>0</v>
      </c>
    </row>
    <row r="333" spans="1:10" x14ac:dyDescent="0.3">
      <c r="A333" s="5" t="s">
        <v>537</v>
      </c>
      <c r="B333" s="6" t="s">
        <v>538</v>
      </c>
      <c r="C333" s="7" t="s">
        <v>276</v>
      </c>
      <c r="D333" s="7" t="s">
        <v>10</v>
      </c>
      <c r="E333" s="8">
        <v>57</v>
      </c>
      <c r="F333" s="9">
        <v>226.3</v>
      </c>
      <c r="G333" s="10">
        <v>400</v>
      </c>
      <c r="H333" s="9" t="s">
        <v>1017</v>
      </c>
      <c r="I333" s="9"/>
      <c r="J333" s="22">
        <f>I333*E333</f>
        <v>0</v>
      </c>
    </row>
    <row r="334" spans="1:10" x14ac:dyDescent="0.3">
      <c r="A334" s="5" t="s">
        <v>539</v>
      </c>
      <c r="B334" s="6" t="s">
        <v>540</v>
      </c>
      <c r="C334" s="7" t="s">
        <v>296</v>
      </c>
      <c r="D334" s="7" t="s">
        <v>6</v>
      </c>
      <c r="E334" s="8">
        <v>12.5</v>
      </c>
      <c r="F334" s="9">
        <v>67</v>
      </c>
      <c r="G334" s="10">
        <v>1500</v>
      </c>
      <c r="H334" s="9" t="s">
        <v>1017</v>
      </c>
      <c r="I334" s="9"/>
      <c r="J334" s="22">
        <f>I334*E334</f>
        <v>0</v>
      </c>
    </row>
    <row r="335" spans="1:10" x14ac:dyDescent="0.3">
      <c r="A335" s="5" t="s">
        <v>541</v>
      </c>
      <c r="B335" s="6" t="s">
        <v>542</v>
      </c>
      <c r="C335" s="7" t="s">
        <v>240</v>
      </c>
      <c r="D335" s="7" t="s">
        <v>6</v>
      </c>
      <c r="E335" s="8">
        <v>6</v>
      </c>
      <c r="F335" s="9">
        <v>43.66</v>
      </c>
      <c r="G335" s="10">
        <v>2160</v>
      </c>
      <c r="H335" s="9" t="s">
        <v>1017</v>
      </c>
      <c r="I335" s="9"/>
      <c r="J335" s="22">
        <f>I335*E335</f>
        <v>0</v>
      </c>
    </row>
    <row r="336" spans="1:10" x14ac:dyDescent="0.3">
      <c r="A336" s="5" t="s">
        <v>1141</v>
      </c>
      <c r="B336" s="6" t="s">
        <v>1142</v>
      </c>
      <c r="C336" s="30" t="s">
        <v>296</v>
      </c>
      <c r="D336" s="32" t="s">
        <v>6</v>
      </c>
      <c r="E336" s="8">
        <v>6</v>
      </c>
      <c r="F336" s="9">
        <v>57.39</v>
      </c>
      <c r="G336" s="30">
        <v>1500</v>
      </c>
      <c r="H336" s="30" t="s">
        <v>1030</v>
      </c>
      <c r="I336" s="30"/>
      <c r="J336" s="39">
        <v>0</v>
      </c>
    </row>
    <row r="337" spans="1:10" x14ac:dyDescent="0.3">
      <c r="A337" s="5" t="s">
        <v>1143</v>
      </c>
      <c r="B337" s="6" t="s">
        <v>1144</v>
      </c>
      <c r="C337" s="30" t="s">
        <v>208</v>
      </c>
      <c r="D337" s="32" t="s">
        <v>6</v>
      </c>
      <c r="E337" s="8">
        <v>5.75</v>
      </c>
      <c r="F337" s="9">
        <v>57.39</v>
      </c>
      <c r="G337" s="30">
        <v>1200</v>
      </c>
      <c r="H337" s="30" t="s">
        <v>1030</v>
      </c>
      <c r="I337" s="30"/>
      <c r="J337" s="39">
        <v>0</v>
      </c>
    </row>
    <row r="338" spans="1:10" x14ac:dyDescent="0.3">
      <c r="A338" s="5">
        <v>1000369</v>
      </c>
      <c r="B338" s="6" t="s">
        <v>1145</v>
      </c>
      <c r="C338" s="30" t="s">
        <v>1146</v>
      </c>
      <c r="D338" s="32" t="s">
        <v>6</v>
      </c>
      <c r="E338" s="8">
        <v>6</v>
      </c>
      <c r="F338" s="9">
        <v>57.39</v>
      </c>
      <c r="G338" s="30">
        <v>1200</v>
      </c>
      <c r="H338" s="30" t="s">
        <v>1030</v>
      </c>
      <c r="I338" s="30"/>
      <c r="J338" s="39">
        <v>0</v>
      </c>
    </row>
    <row r="339" spans="1:10" x14ac:dyDescent="0.3">
      <c r="A339" s="5">
        <v>1001226</v>
      </c>
      <c r="B339" s="6" t="s">
        <v>1147</v>
      </c>
      <c r="C339" s="7" t="s">
        <v>194</v>
      </c>
      <c r="D339" s="7" t="s">
        <v>6</v>
      </c>
      <c r="E339" s="8">
        <v>14</v>
      </c>
      <c r="F339" s="9">
        <v>24.57</v>
      </c>
      <c r="G339" s="10">
        <v>960</v>
      </c>
      <c r="H339" s="30" t="s">
        <v>1030</v>
      </c>
      <c r="I339" s="30"/>
      <c r="J339" s="39">
        <v>0</v>
      </c>
    </row>
    <row r="340" spans="1:10" x14ac:dyDescent="0.3">
      <c r="A340" s="5">
        <v>1001344</v>
      </c>
      <c r="B340" s="6" t="s">
        <v>543</v>
      </c>
      <c r="C340" s="7" t="s">
        <v>544</v>
      </c>
      <c r="D340" s="7" t="s">
        <v>16</v>
      </c>
      <c r="E340" s="8">
        <v>22</v>
      </c>
      <c r="F340" s="9">
        <v>116.25</v>
      </c>
      <c r="G340" s="10">
        <v>600</v>
      </c>
      <c r="H340" s="9" t="s">
        <v>1017</v>
      </c>
      <c r="I340" s="9"/>
      <c r="J340" s="22">
        <f>I340*E340</f>
        <v>0</v>
      </c>
    </row>
    <row r="341" spans="1:10" x14ac:dyDescent="0.3">
      <c r="A341" s="5" t="s">
        <v>545</v>
      </c>
      <c r="B341" s="6" t="s">
        <v>546</v>
      </c>
      <c r="C341" s="7" t="s">
        <v>19</v>
      </c>
      <c r="D341" s="7" t="s">
        <v>16</v>
      </c>
      <c r="E341" s="8">
        <v>22</v>
      </c>
      <c r="F341" s="9">
        <v>88.48</v>
      </c>
      <c r="G341" s="10">
        <v>600</v>
      </c>
      <c r="H341" s="9" t="s">
        <v>1017</v>
      </c>
      <c r="I341" s="9"/>
      <c r="J341" s="22">
        <f>I341*E341</f>
        <v>0</v>
      </c>
    </row>
    <row r="342" spans="1:10" x14ac:dyDescent="0.3">
      <c r="A342" s="26" t="s">
        <v>547</v>
      </c>
      <c r="B342" s="6" t="s">
        <v>548</v>
      </c>
      <c r="C342" s="7" t="s">
        <v>50</v>
      </c>
      <c r="D342" s="33" t="s">
        <v>549</v>
      </c>
      <c r="E342" s="8">
        <v>17</v>
      </c>
      <c r="F342" s="9">
        <v>68.06</v>
      </c>
      <c r="G342" s="30">
        <v>120</v>
      </c>
      <c r="H342" s="9" t="s">
        <v>1017</v>
      </c>
      <c r="I342" s="9"/>
      <c r="J342" s="22">
        <f>I342*E342</f>
        <v>0</v>
      </c>
    </row>
    <row r="343" spans="1:10" x14ac:dyDescent="0.3">
      <c r="A343" s="5" t="s">
        <v>550</v>
      </c>
      <c r="B343" s="6" t="s">
        <v>551</v>
      </c>
      <c r="C343" s="30" t="s">
        <v>247</v>
      </c>
      <c r="D343" s="32" t="s">
        <v>549</v>
      </c>
      <c r="E343" s="8">
        <v>24</v>
      </c>
      <c r="F343" s="9">
        <v>117.18</v>
      </c>
      <c r="G343" s="30">
        <v>200</v>
      </c>
      <c r="H343" s="9" t="s">
        <v>1017</v>
      </c>
      <c r="I343" s="9"/>
      <c r="J343" s="22">
        <f>I343*E343</f>
        <v>0</v>
      </c>
    </row>
    <row r="344" spans="1:10" x14ac:dyDescent="0.3">
      <c r="A344" s="5" t="s">
        <v>1148</v>
      </c>
      <c r="B344" s="6" t="s">
        <v>1149</v>
      </c>
      <c r="C344" s="30" t="s">
        <v>923</v>
      </c>
      <c r="D344" s="32" t="s">
        <v>6</v>
      </c>
      <c r="E344" s="8">
        <v>14</v>
      </c>
      <c r="F344" s="9">
        <v>120</v>
      </c>
      <c r="G344" s="30">
        <v>1200</v>
      </c>
      <c r="H344" s="30" t="s">
        <v>1030</v>
      </c>
      <c r="I344" s="30"/>
      <c r="J344" s="39">
        <v>0</v>
      </c>
    </row>
    <row r="345" spans="1:10" x14ac:dyDescent="0.3">
      <c r="A345" s="5" t="s">
        <v>1150</v>
      </c>
      <c r="B345" s="6" t="s">
        <v>1151</v>
      </c>
      <c r="C345" s="30" t="s">
        <v>240</v>
      </c>
      <c r="D345" s="32" t="s">
        <v>109</v>
      </c>
      <c r="E345" s="8">
        <v>9</v>
      </c>
      <c r="F345" s="9">
        <v>123.75</v>
      </c>
      <c r="G345" s="30">
        <v>1260</v>
      </c>
      <c r="H345" s="30" t="s">
        <v>1030</v>
      </c>
      <c r="I345" s="30"/>
      <c r="J345" s="39">
        <v>0</v>
      </c>
    </row>
    <row r="346" spans="1:10" x14ac:dyDescent="0.3">
      <c r="A346" s="5" t="s">
        <v>1152</v>
      </c>
      <c r="B346" s="6" t="s">
        <v>1153</v>
      </c>
      <c r="C346" s="30" t="s">
        <v>24</v>
      </c>
      <c r="D346" s="32" t="s">
        <v>10</v>
      </c>
      <c r="E346" s="8">
        <v>12.5</v>
      </c>
      <c r="F346" s="9">
        <v>106.05</v>
      </c>
      <c r="G346" s="30">
        <v>1200</v>
      </c>
      <c r="H346" s="30" t="s">
        <v>1030</v>
      </c>
      <c r="I346" s="30"/>
      <c r="J346" s="39">
        <v>0</v>
      </c>
    </row>
    <row r="347" spans="1:10" x14ac:dyDescent="0.3">
      <c r="A347" s="35" t="s">
        <v>1154</v>
      </c>
      <c r="B347" s="34" t="s">
        <v>1155</v>
      </c>
      <c r="C347" s="35" t="s">
        <v>53</v>
      </c>
      <c r="D347" s="36" t="s">
        <v>6</v>
      </c>
      <c r="E347" s="37">
        <v>15.5</v>
      </c>
      <c r="F347" s="38">
        <v>131.02000000000001</v>
      </c>
      <c r="G347" s="35">
        <v>720</v>
      </c>
      <c r="H347" s="35" t="s">
        <v>1030</v>
      </c>
      <c r="I347" s="35"/>
      <c r="J347" s="39">
        <v>0</v>
      </c>
    </row>
    <row r="348" spans="1:10" ht="37.799999999999997" x14ac:dyDescent="0.3">
      <c r="A348" s="5" t="s">
        <v>552</v>
      </c>
      <c r="B348" s="6" t="s">
        <v>553</v>
      </c>
      <c r="C348" s="7" t="s">
        <v>247</v>
      </c>
      <c r="D348" s="7" t="s">
        <v>42</v>
      </c>
      <c r="E348" s="8">
        <v>21.5</v>
      </c>
      <c r="F348" s="9">
        <v>85</v>
      </c>
      <c r="G348" s="10">
        <v>200</v>
      </c>
      <c r="H348" s="9" t="s">
        <v>1017</v>
      </c>
      <c r="I348" s="9"/>
      <c r="J348" s="22">
        <f>I348*E348</f>
        <v>0</v>
      </c>
    </row>
    <row r="349" spans="1:10" x14ac:dyDescent="0.3">
      <c r="A349" s="5" t="s">
        <v>554</v>
      </c>
      <c r="B349" s="6" t="s">
        <v>555</v>
      </c>
      <c r="C349" s="7" t="s">
        <v>53</v>
      </c>
      <c r="D349" s="7" t="s">
        <v>6</v>
      </c>
      <c r="E349" s="8">
        <v>13.5</v>
      </c>
      <c r="F349" s="9">
        <v>96.4</v>
      </c>
      <c r="G349" s="10">
        <v>1080</v>
      </c>
      <c r="H349" s="9" t="s">
        <v>1017</v>
      </c>
      <c r="I349" s="9"/>
      <c r="J349" s="22">
        <f>I349*E349</f>
        <v>0</v>
      </c>
    </row>
    <row r="350" spans="1:10" ht="37.799999999999997" x14ac:dyDescent="0.3">
      <c r="A350" s="5" t="s">
        <v>556</v>
      </c>
      <c r="B350" s="6" t="s">
        <v>557</v>
      </c>
      <c r="C350" s="7" t="s">
        <v>50</v>
      </c>
      <c r="D350" s="7" t="s">
        <v>42</v>
      </c>
      <c r="E350" s="8">
        <v>19</v>
      </c>
      <c r="F350" s="9">
        <v>65.87</v>
      </c>
      <c r="G350" s="10">
        <v>300</v>
      </c>
      <c r="H350" s="9" t="s">
        <v>1017</v>
      </c>
      <c r="I350" s="9"/>
      <c r="J350" s="22">
        <f>I350*E350</f>
        <v>0</v>
      </c>
    </row>
    <row r="351" spans="1:10" x14ac:dyDescent="0.3">
      <c r="A351" s="5" t="s">
        <v>558</v>
      </c>
      <c r="B351" s="6" t="s">
        <v>559</v>
      </c>
      <c r="C351" s="7" t="s">
        <v>53</v>
      </c>
      <c r="D351" s="7" t="s">
        <v>6</v>
      </c>
      <c r="E351" s="8">
        <v>23</v>
      </c>
      <c r="F351" s="9">
        <v>131</v>
      </c>
      <c r="G351" s="10">
        <v>720</v>
      </c>
      <c r="H351" s="9" t="s">
        <v>1017</v>
      </c>
      <c r="I351" s="9"/>
      <c r="J351" s="22">
        <f>I351*E351</f>
        <v>0</v>
      </c>
    </row>
    <row r="352" spans="1:10" x14ac:dyDescent="0.3">
      <c r="A352" s="5" t="s">
        <v>560</v>
      </c>
      <c r="B352" s="6" t="s">
        <v>561</v>
      </c>
      <c r="C352" s="7" t="s">
        <v>106</v>
      </c>
      <c r="D352" s="7" t="s">
        <v>220</v>
      </c>
      <c r="E352" s="8">
        <v>13.5</v>
      </c>
      <c r="F352" s="9">
        <v>46.3</v>
      </c>
      <c r="G352" s="10">
        <v>1000</v>
      </c>
      <c r="H352" s="9" t="s">
        <v>1017</v>
      </c>
      <c r="I352" s="9"/>
      <c r="J352" s="22">
        <f>I352*E352</f>
        <v>0</v>
      </c>
    </row>
    <row r="353" spans="1:10" x14ac:dyDescent="0.3">
      <c r="A353" s="5" t="s">
        <v>562</v>
      </c>
      <c r="B353" s="6" t="s">
        <v>563</v>
      </c>
      <c r="C353" s="7" t="s">
        <v>106</v>
      </c>
      <c r="D353" s="7" t="s">
        <v>220</v>
      </c>
      <c r="E353" s="8">
        <v>14.5</v>
      </c>
      <c r="F353" s="9">
        <v>99.82</v>
      </c>
      <c r="G353" s="10">
        <v>1000</v>
      </c>
      <c r="H353" s="9" t="s">
        <v>1017</v>
      </c>
      <c r="I353" s="9"/>
      <c r="J353" s="22">
        <f>I353*E353</f>
        <v>0</v>
      </c>
    </row>
    <row r="354" spans="1:10" x14ac:dyDescent="0.3">
      <c r="A354" s="5" t="s">
        <v>1156</v>
      </c>
      <c r="B354" s="6" t="s">
        <v>1157</v>
      </c>
      <c r="C354" s="30" t="s">
        <v>1158</v>
      </c>
      <c r="D354" s="32" t="s">
        <v>220</v>
      </c>
      <c r="E354" s="8">
        <v>16</v>
      </c>
      <c r="F354" s="9">
        <v>61.74</v>
      </c>
      <c r="G354" s="30">
        <v>600</v>
      </c>
      <c r="H354" s="30" t="s">
        <v>1030</v>
      </c>
      <c r="I354" s="30"/>
      <c r="J354" s="39">
        <v>0</v>
      </c>
    </row>
    <row r="355" spans="1:10" x14ac:dyDescent="0.3">
      <c r="A355" s="5" t="s">
        <v>1159</v>
      </c>
      <c r="B355" s="6" t="s">
        <v>1160</v>
      </c>
      <c r="C355" s="30" t="s">
        <v>1158</v>
      </c>
      <c r="D355" s="32" t="s">
        <v>220</v>
      </c>
      <c r="E355" s="8">
        <v>17</v>
      </c>
      <c r="F355" s="9">
        <v>164.34</v>
      </c>
      <c r="G355" s="30">
        <v>600</v>
      </c>
      <c r="H355" s="30" t="s">
        <v>1030</v>
      </c>
      <c r="I355" s="30"/>
      <c r="J355" s="39">
        <v>0</v>
      </c>
    </row>
    <row r="356" spans="1:10" ht="37.799999999999997" x14ac:dyDescent="0.3">
      <c r="A356" s="5" t="s">
        <v>564</v>
      </c>
      <c r="B356" s="6" t="s">
        <v>565</v>
      </c>
      <c r="C356" s="7" t="s">
        <v>50</v>
      </c>
      <c r="D356" s="7" t="s">
        <v>566</v>
      </c>
      <c r="E356" s="8">
        <v>16</v>
      </c>
      <c r="F356" s="9">
        <v>40.630000000000003</v>
      </c>
      <c r="G356" s="10">
        <v>300</v>
      </c>
      <c r="H356" s="9" t="s">
        <v>1017</v>
      </c>
      <c r="I356" s="9"/>
      <c r="J356" s="22">
        <f>I356*E356</f>
        <v>0</v>
      </c>
    </row>
    <row r="357" spans="1:10" x14ac:dyDescent="0.3">
      <c r="A357" s="5">
        <v>1000146</v>
      </c>
      <c r="B357" s="6" t="s">
        <v>1161</v>
      </c>
      <c r="C357" s="30" t="s">
        <v>1131</v>
      </c>
      <c r="D357" s="32" t="s">
        <v>1137</v>
      </c>
      <c r="E357" s="8">
        <v>3.25</v>
      </c>
      <c r="F357" s="9">
        <v>12.81</v>
      </c>
      <c r="G357" s="30">
        <v>2000</v>
      </c>
      <c r="H357" s="30" t="s">
        <v>1030</v>
      </c>
      <c r="I357" s="30"/>
      <c r="J357" s="39">
        <v>0</v>
      </c>
    </row>
    <row r="358" spans="1:10" x14ac:dyDescent="0.3">
      <c r="A358" s="5" t="s">
        <v>567</v>
      </c>
      <c r="B358" s="6" t="s">
        <v>568</v>
      </c>
      <c r="C358" s="7" t="s">
        <v>24</v>
      </c>
      <c r="D358" s="7" t="s">
        <v>10</v>
      </c>
      <c r="E358" s="8">
        <v>10.5</v>
      </c>
      <c r="F358" s="9">
        <v>97.44</v>
      </c>
      <c r="G358" s="10">
        <v>1680</v>
      </c>
      <c r="H358" s="9" t="s">
        <v>1017</v>
      </c>
      <c r="I358" s="9"/>
      <c r="J358" s="22">
        <f>I358*E358</f>
        <v>0</v>
      </c>
    </row>
    <row r="359" spans="1:10" x14ac:dyDescent="0.3">
      <c r="A359" s="5" t="s">
        <v>569</v>
      </c>
      <c r="B359" s="6" t="s">
        <v>570</v>
      </c>
      <c r="C359" s="7" t="s">
        <v>24</v>
      </c>
      <c r="D359" s="7" t="s">
        <v>10</v>
      </c>
      <c r="E359" s="8">
        <v>7.5</v>
      </c>
      <c r="F359" s="9">
        <v>55.23</v>
      </c>
      <c r="G359" s="10">
        <v>1440</v>
      </c>
      <c r="H359" s="9" t="s">
        <v>1017</v>
      </c>
      <c r="I359" s="9"/>
      <c r="J359" s="22">
        <f>I359*E359</f>
        <v>0</v>
      </c>
    </row>
    <row r="360" spans="1:10" x14ac:dyDescent="0.3">
      <c r="A360" s="5" t="s">
        <v>571</v>
      </c>
      <c r="B360" s="6" t="s">
        <v>572</v>
      </c>
      <c r="C360" s="7" t="s">
        <v>19</v>
      </c>
      <c r="D360" s="7" t="s">
        <v>16</v>
      </c>
      <c r="E360" s="8">
        <v>18</v>
      </c>
      <c r="F360" s="9">
        <v>73.73</v>
      </c>
      <c r="G360" s="10">
        <v>600</v>
      </c>
      <c r="H360" s="9" t="s">
        <v>1017</v>
      </c>
      <c r="I360" s="9"/>
      <c r="J360" s="22">
        <f>I360*E360</f>
        <v>0</v>
      </c>
    </row>
    <row r="361" spans="1:10" x14ac:dyDescent="0.3">
      <c r="A361" s="5" t="s">
        <v>573</v>
      </c>
      <c r="B361" s="6" t="s">
        <v>574</v>
      </c>
      <c r="C361" s="7" t="s">
        <v>575</v>
      </c>
      <c r="D361" s="7" t="s">
        <v>16</v>
      </c>
      <c r="E361" s="8">
        <v>18</v>
      </c>
      <c r="F361" s="9">
        <v>96.42</v>
      </c>
      <c r="G361" s="10">
        <v>864</v>
      </c>
      <c r="H361" s="9" t="s">
        <v>1017</v>
      </c>
      <c r="I361" s="9"/>
      <c r="J361" s="22">
        <f>I361*E361</f>
        <v>0</v>
      </c>
    </row>
    <row r="362" spans="1:10" x14ac:dyDescent="0.3">
      <c r="A362" s="5">
        <v>1000180</v>
      </c>
      <c r="B362" s="6" t="s">
        <v>576</v>
      </c>
      <c r="C362" s="7" t="s">
        <v>53</v>
      </c>
      <c r="D362" s="7" t="s">
        <v>91</v>
      </c>
      <c r="E362" s="8">
        <v>9.5</v>
      </c>
      <c r="F362" s="9">
        <v>65.87</v>
      </c>
      <c r="G362" s="10">
        <v>1600</v>
      </c>
      <c r="H362" s="9" t="s">
        <v>1017</v>
      </c>
      <c r="I362" s="9"/>
      <c r="J362" s="22">
        <f>I362*E362</f>
        <v>0</v>
      </c>
    </row>
    <row r="363" spans="1:10" x14ac:dyDescent="0.3">
      <c r="A363" s="35">
        <v>1001532</v>
      </c>
      <c r="B363" s="34" t="s">
        <v>1162</v>
      </c>
      <c r="C363" s="35" t="s">
        <v>106</v>
      </c>
      <c r="D363" s="36" t="s">
        <v>10</v>
      </c>
      <c r="E363" s="37">
        <v>12.5</v>
      </c>
      <c r="F363" s="38">
        <v>172.93</v>
      </c>
      <c r="G363" s="35">
        <v>1200</v>
      </c>
      <c r="H363" s="35" t="s">
        <v>1030</v>
      </c>
      <c r="I363" s="35"/>
      <c r="J363" s="39">
        <v>0</v>
      </c>
    </row>
    <row r="364" spans="1:10" x14ac:dyDescent="0.3">
      <c r="A364" s="24">
        <v>1001535</v>
      </c>
      <c r="B364" s="25" t="s">
        <v>1163</v>
      </c>
      <c r="C364" s="26" t="s">
        <v>1164</v>
      </c>
      <c r="D364" s="26" t="s">
        <v>220</v>
      </c>
      <c r="E364" s="27">
        <v>13.7</v>
      </c>
      <c r="F364" s="28">
        <v>189.37</v>
      </c>
      <c r="G364" s="29">
        <v>1200</v>
      </c>
      <c r="H364" s="30" t="s">
        <v>1030</v>
      </c>
      <c r="I364" s="30"/>
      <c r="J364" s="39">
        <v>0</v>
      </c>
    </row>
    <row r="365" spans="1:10" x14ac:dyDescent="0.3">
      <c r="A365" s="24" t="s">
        <v>1165</v>
      </c>
      <c r="B365" s="25" t="s">
        <v>1166</v>
      </c>
      <c r="C365" s="30" t="s">
        <v>53</v>
      </c>
      <c r="D365" s="32" t="s">
        <v>10</v>
      </c>
      <c r="E365" s="27">
        <v>14.5</v>
      </c>
      <c r="F365" s="28">
        <v>141.69999999999999</v>
      </c>
      <c r="G365" s="30">
        <v>800</v>
      </c>
      <c r="H365" s="30" t="s">
        <v>1030</v>
      </c>
      <c r="I365" s="30"/>
      <c r="J365" s="39">
        <v>0</v>
      </c>
    </row>
    <row r="366" spans="1:10" x14ac:dyDescent="0.3">
      <c r="A366" s="5">
        <v>1001562</v>
      </c>
      <c r="B366" s="6" t="s">
        <v>1021</v>
      </c>
      <c r="C366" s="7" t="s">
        <v>53</v>
      </c>
      <c r="D366" s="7" t="s">
        <v>10</v>
      </c>
      <c r="E366" s="8">
        <v>18</v>
      </c>
      <c r="F366" s="9">
        <v>141.79</v>
      </c>
      <c r="G366" s="10">
        <v>640</v>
      </c>
      <c r="H366" s="9" t="s">
        <v>1017</v>
      </c>
      <c r="I366" s="9"/>
      <c r="J366" s="22">
        <f>I366*E366</f>
        <v>0</v>
      </c>
    </row>
    <row r="367" spans="1:10" x14ac:dyDescent="0.3">
      <c r="A367" s="5" t="s">
        <v>1167</v>
      </c>
      <c r="B367" s="6" t="s">
        <v>1168</v>
      </c>
      <c r="C367" s="30" t="s">
        <v>61</v>
      </c>
      <c r="D367" s="32" t="s">
        <v>1045</v>
      </c>
      <c r="E367" s="8">
        <v>9</v>
      </c>
      <c r="F367" s="9">
        <v>54.24</v>
      </c>
      <c r="G367" s="30">
        <v>400</v>
      </c>
      <c r="H367" s="30" t="s">
        <v>1030</v>
      </c>
      <c r="I367" s="30"/>
      <c r="J367" s="39">
        <v>0</v>
      </c>
    </row>
    <row r="368" spans="1:10" x14ac:dyDescent="0.3">
      <c r="A368" s="5" t="s">
        <v>577</v>
      </c>
      <c r="B368" s="6" t="s">
        <v>578</v>
      </c>
      <c r="C368" s="7" t="s">
        <v>56</v>
      </c>
      <c r="D368" s="7" t="s">
        <v>10</v>
      </c>
      <c r="E368" s="8">
        <v>32</v>
      </c>
      <c r="F368" s="9">
        <v>230.2</v>
      </c>
      <c r="G368" s="10">
        <v>300</v>
      </c>
      <c r="H368" s="9" t="s">
        <v>1017</v>
      </c>
      <c r="I368" s="9"/>
      <c r="J368" s="22">
        <f>I368*E368</f>
        <v>0</v>
      </c>
    </row>
    <row r="369" spans="1:10" x14ac:dyDescent="0.3">
      <c r="A369" s="5" t="s">
        <v>579</v>
      </c>
      <c r="B369" s="6" t="s">
        <v>580</v>
      </c>
      <c r="C369" s="7" t="s">
        <v>53</v>
      </c>
      <c r="D369" s="7" t="s">
        <v>10</v>
      </c>
      <c r="E369" s="8">
        <v>10</v>
      </c>
      <c r="F369" s="9">
        <v>126.7</v>
      </c>
      <c r="G369" s="10">
        <v>1440</v>
      </c>
      <c r="H369" s="9" t="s">
        <v>1017</v>
      </c>
      <c r="I369" s="9"/>
      <c r="J369" s="22">
        <f>I369*E369</f>
        <v>0</v>
      </c>
    </row>
    <row r="370" spans="1:10" x14ac:dyDescent="0.3">
      <c r="A370" s="5" t="s">
        <v>581</v>
      </c>
      <c r="B370" s="6" t="s">
        <v>582</v>
      </c>
      <c r="C370" s="7" t="s">
        <v>53</v>
      </c>
      <c r="D370" s="7" t="s">
        <v>10</v>
      </c>
      <c r="E370" s="8">
        <v>10.5</v>
      </c>
      <c r="F370" s="9">
        <v>138.80000000000001</v>
      </c>
      <c r="G370" s="10">
        <v>1440</v>
      </c>
      <c r="H370" s="9" t="s">
        <v>1017</v>
      </c>
      <c r="I370" s="9"/>
      <c r="J370" s="22">
        <f>I370*E370</f>
        <v>0</v>
      </c>
    </row>
    <row r="371" spans="1:10" x14ac:dyDescent="0.3">
      <c r="A371" s="5" t="s">
        <v>583</v>
      </c>
      <c r="B371" s="6" t="s">
        <v>584</v>
      </c>
      <c r="C371" s="7" t="s">
        <v>53</v>
      </c>
      <c r="D371" s="7" t="s">
        <v>10</v>
      </c>
      <c r="E371" s="8">
        <v>18</v>
      </c>
      <c r="F371" s="9">
        <v>141.79</v>
      </c>
      <c r="G371" s="10">
        <v>640</v>
      </c>
      <c r="H371" s="9" t="s">
        <v>1017</v>
      </c>
      <c r="I371" s="9"/>
      <c r="J371" s="22">
        <f>I371*E371</f>
        <v>0</v>
      </c>
    </row>
    <row r="372" spans="1:10" x14ac:dyDescent="0.3">
      <c r="A372" s="5">
        <v>1001219</v>
      </c>
      <c r="B372" s="6" t="s">
        <v>585</v>
      </c>
      <c r="C372" s="7" t="s">
        <v>53</v>
      </c>
      <c r="D372" s="7" t="s">
        <v>91</v>
      </c>
      <c r="E372" s="8">
        <v>25.5</v>
      </c>
      <c r="F372" s="9">
        <v>226.87</v>
      </c>
      <c r="G372" s="10">
        <v>960</v>
      </c>
      <c r="H372" s="9" t="s">
        <v>1017</v>
      </c>
      <c r="I372" s="9"/>
      <c r="J372" s="22">
        <f>I372*E372</f>
        <v>0</v>
      </c>
    </row>
    <row r="373" spans="1:10" x14ac:dyDescent="0.3">
      <c r="A373" s="5" t="s">
        <v>586</v>
      </c>
      <c r="B373" s="6" t="s">
        <v>587</v>
      </c>
      <c r="C373" s="7" t="s">
        <v>28</v>
      </c>
      <c r="D373" s="7" t="s">
        <v>10</v>
      </c>
      <c r="E373" s="27">
        <v>19.5</v>
      </c>
      <c r="F373" s="9">
        <v>96.42</v>
      </c>
      <c r="G373" s="10">
        <v>800</v>
      </c>
      <c r="H373" s="9" t="s">
        <v>1017</v>
      </c>
      <c r="I373" s="9"/>
      <c r="J373" s="22">
        <f>I373*E373</f>
        <v>0</v>
      </c>
    </row>
    <row r="374" spans="1:10" ht="37.799999999999997" x14ac:dyDescent="0.3">
      <c r="A374" s="5" t="s">
        <v>588</v>
      </c>
      <c r="B374" s="6" t="s">
        <v>589</v>
      </c>
      <c r="C374" s="7" t="s">
        <v>369</v>
      </c>
      <c r="D374" s="7" t="s">
        <v>42</v>
      </c>
      <c r="E374" s="27">
        <v>34</v>
      </c>
      <c r="F374" s="9">
        <v>141.75</v>
      </c>
      <c r="G374" s="10">
        <v>150</v>
      </c>
      <c r="H374" s="9" t="s">
        <v>1017</v>
      </c>
      <c r="I374" s="9"/>
      <c r="J374" s="22">
        <f>I374*E374</f>
        <v>0</v>
      </c>
    </row>
    <row r="375" spans="1:10" ht="37.799999999999997" x14ac:dyDescent="0.3">
      <c r="A375" s="5">
        <v>1000422</v>
      </c>
      <c r="B375" s="6" t="s">
        <v>590</v>
      </c>
      <c r="C375" s="7" t="s">
        <v>100</v>
      </c>
      <c r="D375" s="7" t="s">
        <v>42</v>
      </c>
      <c r="E375" s="27">
        <v>23.5</v>
      </c>
      <c r="F375" s="9">
        <v>99.8</v>
      </c>
      <c r="G375" s="10">
        <v>150</v>
      </c>
      <c r="H375" s="9" t="s">
        <v>1017</v>
      </c>
      <c r="I375" s="9"/>
      <c r="J375" s="22">
        <f>I375*E375</f>
        <v>0</v>
      </c>
    </row>
    <row r="376" spans="1:10" x14ac:dyDescent="0.3">
      <c r="A376" s="5" t="s">
        <v>1169</v>
      </c>
      <c r="B376" s="6" t="s">
        <v>1170</v>
      </c>
      <c r="C376" s="30" t="s">
        <v>65</v>
      </c>
      <c r="D376" s="32" t="s">
        <v>1045</v>
      </c>
      <c r="E376" s="27">
        <v>65</v>
      </c>
      <c r="F376" s="9">
        <v>429.45</v>
      </c>
      <c r="G376" s="30">
        <v>240</v>
      </c>
      <c r="H376" s="30" t="s">
        <v>1030</v>
      </c>
      <c r="I376" s="30"/>
      <c r="J376" s="39">
        <v>0</v>
      </c>
    </row>
    <row r="377" spans="1:10" x14ac:dyDescent="0.3">
      <c r="A377" s="5">
        <v>1001062</v>
      </c>
      <c r="B377" s="6" t="s">
        <v>591</v>
      </c>
      <c r="C377" s="7" t="s">
        <v>28</v>
      </c>
      <c r="D377" s="7" t="s">
        <v>6</v>
      </c>
      <c r="E377" s="8">
        <v>34</v>
      </c>
      <c r="F377" s="9">
        <v>210</v>
      </c>
      <c r="G377" s="10">
        <v>500</v>
      </c>
      <c r="H377" s="9" t="s">
        <v>1017</v>
      </c>
      <c r="I377" s="9"/>
      <c r="J377" s="22">
        <f>I377*E377</f>
        <v>0</v>
      </c>
    </row>
    <row r="378" spans="1:10" x14ac:dyDescent="0.3">
      <c r="A378" s="5" t="s">
        <v>592</v>
      </c>
      <c r="B378" s="6" t="s">
        <v>593</v>
      </c>
      <c r="C378" s="7" t="s">
        <v>56</v>
      </c>
      <c r="D378" s="7" t="s">
        <v>10</v>
      </c>
      <c r="E378" s="8">
        <v>37.5</v>
      </c>
      <c r="F378" s="9">
        <v>274.51</v>
      </c>
      <c r="G378" s="10">
        <v>500</v>
      </c>
      <c r="H378" s="9" t="s">
        <v>1017</v>
      </c>
      <c r="I378" s="9"/>
      <c r="J378" s="22">
        <f>I378*E378</f>
        <v>0</v>
      </c>
    </row>
    <row r="379" spans="1:10" x14ac:dyDescent="0.3">
      <c r="A379" s="5" t="s">
        <v>594</v>
      </c>
      <c r="B379" s="6" t="s">
        <v>595</v>
      </c>
      <c r="C379" s="7" t="s">
        <v>28</v>
      </c>
      <c r="D379" s="7" t="s">
        <v>6</v>
      </c>
      <c r="E379" s="8">
        <v>17.5</v>
      </c>
      <c r="F379" s="9">
        <v>107.75</v>
      </c>
      <c r="G379" s="10">
        <v>1000</v>
      </c>
      <c r="H379" s="9" t="s">
        <v>1017</v>
      </c>
      <c r="I379" s="9"/>
      <c r="J379" s="22">
        <f>I379*E379</f>
        <v>0</v>
      </c>
    </row>
    <row r="380" spans="1:10" x14ac:dyDescent="0.3">
      <c r="A380" s="5" t="s">
        <v>596</v>
      </c>
      <c r="B380" s="6" t="s">
        <v>597</v>
      </c>
      <c r="C380" s="7" t="s">
        <v>53</v>
      </c>
      <c r="D380" s="7" t="s">
        <v>10</v>
      </c>
      <c r="E380" s="8">
        <v>37.5</v>
      </c>
      <c r="F380" s="9">
        <v>243.75</v>
      </c>
      <c r="G380" s="10">
        <v>960</v>
      </c>
      <c r="H380" s="9" t="s">
        <v>1017</v>
      </c>
      <c r="I380" s="9"/>
      <c r="J380" s="22">
        <f>I380*E380</f>
        <v>0</v>
      </c>
    </row>
    <row r="381" spans="1:10" x14ac:dyDescent="0.3">
      <c r="A381" s="5" t="s">
        <v>598</v>
      </c>
      <c r="B381" s="6" t="s">
        <v>599</v>
      </c>
      <c r="C381" s="7" t="s">
        <v>56</v>
      </c>
      <c r="D381" s="7" t="s">
        <v>10</v>
      </c>
      <c r="E381" s="8">
        <v>24.5</v>
      </c>
      <c r="F381" s="9">
        <v>174.6</v>
      </c>
      <c r="G381" s="10">
        <v>400</v>
      </c>
      <c r="H381" s="9" t="s">
        <v>1017</v>
      </c>
      <c r="I381" s="9"/>
      <c r="J381" s="22">
        <f>I381*E381</f>
        <v>0</v>
      </c>
    </row>
    <row r="382" spans="1:10" x14ac:dyDescent="0.3">
      <c r="A382" s="5" t="s">
        <v>600</v>
      </c>
      <c r="B382" s="6" t="s">
        <v>601</v>
      </c>
      <c r="C382" s="26" t="s">
        <v>56</v>
      </c>
      <c r="D382" s="26" t="s">
        <v>10</v>
      </c>
      <c r="E382" s="8">
        <v>24</v>
      </c>
      <c r="F382" s="9">
        <v>205.88</v>
      </c>
      <c r="G382" s="29">
        <v>600</v>
      </c>
      <c r="H382" s="9" t="s">
        <v>1017</v>
      </c>
      <c r="I382" s="9"/>
      <c r="J382" s="22">
        <f>I382*E382</f>
        <v>0</v>
      </c>
    </row>
    <row r="383" spans="1:10" x14ac:dyDescent="0.3">
      <c r="A383" s="5" t="s">
        <v>602</v>
      </c>
      <c r="B383" s="6" t="s">
        <v>603</v>
      </c>
      <c r="C383" s="7" t="s">
        <v>56</v>
      </c>
      <c r="D383" s="7" t="s">
        <v>10</v>
      </c>
      <c r="E383" s="27">
        <v>38</v>
      </c>
      <c r="F383" s="9">
        <v>224.6</v>
      </c>
      <c r="G383" s="10">
        <v>600</v>
      </c>
      <c r="H383" s="9" t="s">
        <v>1017</v>
      </c>
      <c r="I383" s="9"/>
      <c r="J383" s="22">
        <f>I383*E383</f>
        <v>0</v>
      </c>
    </row>
    <row r="384" spans="1:10" x14ac:dyDescent="0.3">
      <c r="A384" s="5">
        <v>1001070</v>
      </c>
      <c r="B384" s="6" t="s">
        <v>604</v>
      </c>
      <c r="C384" s="7" t="s">
        <v>419</v>
      </c>
      <c r="D384" s="7" t="s">
        <v>6</v>
      </c>
      <c r="E384" s="27">
        <v>27</v>
      </c>
      <c r="F384" s="9">
        <v>191.81</v>
      </c>
      <c r="G384" s="10">
        <v>1650</v>
      </c>
      <c r="H384" s="9" t="s">
        <v>1017</v>
      </c>
      <c r="I384" s="9"/>
      <c r="J384" s="22">
        <f>I384*E384</f>
        <v>0</v>
      </c>
    </row>
    <row r="385" spans="1:10" x14ac:dyDescent="0.3">
      <c r="A385" s="5">
        <v>1000181</v>
      </c>
      <c r="B385" s="6" t="s">
        <v>605</v>
      </c>
      <c r="C385" s="7" t="s">
        <v>428</v>
      </c>
      <c r="D385" s="7" t="s">
        <v>6</v>
      </c>
      <c r="E385" s="27">
        <v>14.5</v>
      </c>
      <c r="F385" s="9">
        <v>57.96</v>
      </c>
      <c r="G385" s="10">
        <v>3600</v>
      </c>
      <c r="H385" s="9" t="s">
        <v>1017</v>
      </c>
      <c r="I385" s="9"/>
      <c r="J385" s="22">
        <f>I385*E385</f>
        <v>0</v>
      </c>
    </row>
    <row r="386" spans="1:10" ht="25.2" x14ac:dyDescent="0.3">
      <c r="A386" s="5" t="s">
        <v>606</v>
      </c>
      <c r="B386" s="6" t="s">
        <v>607</v>
      </c>
      <c r="C386" s="7" t="s">
        <v>50</v>
      </c>
      <c r="D386" s="7" t="s">
        <v>51</v>
      </c>
      <c r="E386" s="27">
        <v>55</v>
      </c>
      <c r="F386" s="9">
        <v>183.5</v>
      </c>
      <c r="G386" s="10">
        <v>200</v>
      </c>
      <c r="H386" s="9" t="s">
        <v>1017</v>
      </c>
      <c r="I386" s="9"/>
      <c r="J386" s="22">
        <f>I386*E386</f>
        <v>0</v>
      </c>
    </row>
    <row r="387" spans="1:10" ht="25.2" x14ac:dyDescent="0.3">
      <c r="A387" s="5">
        <v>1000304</v>
      </c>
      <c r="B387" s="6" t="s">
        <v>608</v>
      </c>
      <c r="C387" s="7" t="s">
        <v>50</v>
      </c>
      <c r="D387" s="7" t="s">
        <v>51</v>
      </c>
      <c r="E387" s="27">
        <v>39</v>
      </c>
      <c r="F387" s="9">
        <v>155.9</v>
      </c>
      <c r="G387" s="10">
        <v>200</v>
      </c>
      <c r="H387" s="9" t="s">
        <v>1017</v>
      </c>
      <c r="I387" s="9"/>
      <c r="J387" s="22">
        <f>I387*E387</f>
        <v>0</v>
      </c>
    </row>
    <row r="388" spans="1:10" ht="37.799999999999997" x14ac:dyDescent="0.3">
      <c r="A388" s="5" t="s">
        <v>609</v>
      </c>
      <c r="B388" s="6" t="s">
        <v>610</v>
      </c>
      <c r="C388" s="7" t="s">
        <v>61</v>
      </c>
      <c r="D388" s="7" t="s">
        <v>611</v>
      </c>
      <c r="E388" s="27">
        <v>27</v>
      </c>
      <c r="F388" s="9">
        <v>81</v>
      </c>
      <c r="G388" s="10">
        <v>300</v>
      </c>
      <c r="H388" s="9" t="s">
        <v>1017</v>
      </c>
      <c r="I388" s="9"/>
      <c r="J388" s="22">
        <f>I388*E388</f>
        <v>0</v>
      </c>
    </row>
    <row r="389" spans="1:10" ht="25.2" x14ac:dyDescent="0.3">
      <c r="A389" s="5" t="s">
        <v>612</v>
      </c>
      <c r="B389" s="6" t="s">
        <v>613</v>
      </c>
      <c r="C389" s="7" t="s">
        <v>50</v>
      </c>
      <c r="D389" s="7" t="s">
        <v>51</v>
      </c>
      <c r="E389" s="27">
        <v>29</v>
      </c>
      <c r="F389" s="9">
        <v>108.56</v>
      </c>
      <c r="G389" s="10">
        <v>200</v>
      </c>
      <c r="H389" s="9" t="s">
        <v>1017</v>
      </c>
      <c r="I389" s="9"/>
      <c r="J389" s="22">
        <f>I389*E389</f>
        <v>0</v>
      </c>
    </row>
    <row r="390" spans="1:10" x14ac:dyDescent="0.3">
      <c r="A390" s="5" t="s">
        <v>614</v>
      </c>
      <c r="B390" s="6" t="s">
        <v>615</v>
      </c>
      <c r="C390" s="7" t="s">
        <v>142</v>
      </c>
      <c r="D390" s="7" t="s">
        <v>10</v>
      </c>
      <c r="E390" s="27">
        <v>80</v>
      </c>
      <c r="F390" s="9">
        <v>283.5</v>
      </c>
      <c r="G390" s="10">
        <v>240</v>
      </c>
      <c r="H390" s="9" t="s">
        <v>1017</v>
      </c>
      <c r="I390" s="9"/>
      <c r="J390" s="22">
        <f>I390*E390</f>
        <v>0</v>
      </c>
    </row>
    <row r="391" spans="1:10" ht="25.2" x14ac:dyDescent="0.3">
      <c r="A391" s="5" t="s">
        <v>616</v>
      </c>
      <c r="B391" s="6" t="s">
        <v>617</v>
      </c>
      <c r="C391" s="7" t="s">
        <v>50</v>
      </c>
      <c r="D391" s="7" t="s">
        <v>51</v>
      </c>
      <c r="E391" s="8">
        <v>40.5</v>
      </c>
      <c r="F391" s="9">
        <v>180.92</v>
      </c>
      <c r="G391" s="10">
        <v>200</v>
      </c>
      <c r="H391" s="9" t="s">
        <v>1017</v>
      </c>
      <c r="I391" s="9"/>
      <c r="J391" s="22">
        <f>I391*E391</f>
        <v>0</v>
      </c>
    </row>
    <row r="392" spans="1:10" x14ac:dyDescent="0.3">
      <c r="A392" s="5" t="s">
        <v>618</v>
      </c>
      <c r="B392" s="6" t="s">
        <v>619</v>
      </c>
      <c r="C392" s="7" t="s">
        <v>56</v>
      </c>
      <c r="D392" s="7" t="s">
        <v>10</v>
      </c>
      <c r="E392" s="8">
        <v>34</v>
      </c>
      <c r="F392" s="9">
        <v>113.43</v>
      </c>
      <c r="G392" s="10">
        <v>720</v>
      </c>
      <c r="H392" s="9" t="s">
        <v>1017</v>
      </c>
      <c r="I392" s="9"/>
      <c r="J392" s="22">
        <f>I392*E392</f>
        <v>0</v>
      </c>
    </row>
    <row r="393" spans="1:10" x14ac:dyDescent="0.3">
      <c r="A393" s="5" t="s">
        <v>620</v>
      </c>
      <c r="B393" s="6" t="s">
        <v>621</v>
      </c>
      <c r="C393" s="7" t="s">
        <v>56</v>
      </c>
      <c r="D393" s="7" t="s">
        <v>10</v>
      </c>
      <c r="E393" s="8">
        <v>60</v>
      </c>
      <c r="F393" s="9">
        <v>221.2</v>
      </c>
      <c r="G393" s="10">
        <v>600</v>
      </c>
      <c r="H393" s="9" t="s">
        <v>1017</v>
      </c>
      <c r="I393" s="9"/>
      <c r="J393" s="22">
        <f>I393*E393</f>
        <v>0</v>
      </c>
    </row>
    <row r="394" spans="1:10" x14ac:dyDescent="0.3">
      <c r="A394" s="24" t="s">
        <v>622</v>
      </c>
      <c r="B394" s="25" t="s">
        <v>623</v>
      </c>
      <c r="C394" s="26" t="s">
        <v>59</v>
      </c>
      <c r="D394" s="26" t="s">
        <v>220</v>
      </c>
      <c r="E394" s="27">
        <v>69</v>
      </c>
      <c r="F394" s="28">
        <v>284.39999999999998</v>
      </c>
      <c r="G394" s="29">
        <v>360</v>
      </c>
      <c r="H394" s="28" t="s">
        <v>1017</v>
      </c>
      <c r="I394" s="28"/>
      <c r="J394" s="22">
        <f>I394*E394</f>
        <v>0</v>
      </c>
    </row>
    <row r="395" spans="1:10" x14ac:dyDescent="0.3">
      <c r="A395" s="24">
        <v>1001178</v>
      </c>
      <c r="B395" s="25" t="s">
        <v>624</v>
      </c>
      <c r="C395" s="26" t="s">
        <v>625</v>
      </c>
      <c r="D395" s="26" t="s">
        <v>626</v>
      </c>
      <c r="E395" s="27">
        <v>55</v>
      </c>
      <c r="F395" s="28">
        <v>376.84</v>
      </c>
      <c r="G395" s="29">
        <v>50</v>
      </c>
      <c r="H395" s="28" t="s">
        <v>1017</v>
      </c>
      <c r="I395" s="28"/>
      <c r="J395" s="22">
        <f>I395*E395</f>
        <v>0</v>
      </c>
    </row>
    <row r="396" spans="1:10" x14ac:dyDescent="0.3">
      <c r="A396" s="24">
        <v>1001180</v>
      </c>
      <c r="B396" s="25" t="s">
        <v>627</v>
      </c>
      <c r="C396" s="26" t="s">
        <v>625</v>
      </c>
      <c r="D396" s="26" t="s">
        <v>626</v>
      </c>
      <c r="E396" s="27">
        <v>55</v>
      </c>
      <c r="F396" s="28">
        <v>376.84</v>
      </c>
      <c r="G396" s="29">
        <v>50</v>
      </c>
      <c r="H396" s="28" t="s">
        <v>1017</v>
      </c>
      <c r="I396" s="28"/>
      <c r="J396" s="22">
        <f>I396*E396</f>
        <v>0</v>
      </c>
    </row>
    <row r="397" spans="1:10" x14ac:dyDescent="0.3">
      <c r="A397" s="24">
        <v>1001176</v>
      </c>
      <c r="B397" s="25" t="s">
        <v>628</v>
      </c>
      <c r="C397" s="26" t="s">
        <v>625</v>
      </c>
      <c r="D397" s="26" t="s">
        <v>626</v>
      </c>
      <c r="E397" s="27">
        <v>55</v>
      </c>
      <c r="F397" s="28">
        <v>376.84</v>
      </c>
      <c r="G397" s="29">
        <v>50</v>
      </c>
      <c r="H397" s="28" t="s">
        <v>1017</v>
      </c>
      <c r="I397" s="28"/>
      <c r="J397" s="22">
        <f>I397*E397</f>
        <v>0</v>
      </c>
    </row>
    <row r="398" spans="1:10" x14ac:dyDescent="0.3">
      <c r="A398" s="5">
        <v>1001179</v>
      </c>
      <c r="B398" s="6" t="s">
        <v>629</v>
      </c>
      <c r="C398" s="26" t="s">
        <v>625</v>
      </c>
      <c r="D398" s="26" t="s">
        <v>630</v>
      </c>
      <c r="E398" s="8">
        <v>60</v>
      </c>
      <c r="F398" s="9">
        <v>392.99</v>
      </c>
      <c r="G398" s="29">
        <v>50</v>
      </c>
      <c r="H398" s="9" t="s">
        <v>1017</v>
      </c>
      <c r="I398" s="9"/>
      <c r="J398" s="22">
        <f>I398*E398</f>
        <v>0</v>
      </c>
    </row>
    <row r="399" spans="1:10" x14ac:dyDescent="0.3">
      <c r="A399" s="5" t="s">
        <v>631</v>
      </c>
      <c r="B399" s="6" t="s">
        <v>632</v>
      </c>
      <c r="C399" s="7" t="s">
        <v>633</v>
      </c>
      <c r="D399" s="7" t="s">
        <v>6</v>
      </c>
      <c r="E399" s="8">
        <v>11</v>
      </c>
      <c r="F399" s="9">
        <v>58.98</v>
      </c>
      <c r="G399" s="10">
        <v>1000</v>
      </c>
      <c r="H399" s="9" t="s">
        <v>1017</v>
      </c>
      <c r="I399" s="9"/>
      <c r="J399" s="22">
        <f>I399*E399</f>
        <v>0</v>
      </c>
    </row>
    <row r="400" spans="1:10" x14ac:dyDescent="0.3">
      <c r="A400" s="5" t="s">
        <v>634</v>
      </c>
      <c r="B400" s="6" t="s">
        <v>635</v>
      </c>
      <c r="C400" s="7" t="s">
        <v>633</v>
      </c>
      <c r="D400" s="7" t="s">
        <v>6</v>
      </c>
      <c r="E400" s="8">
        <v>16</v>
      </c>
      <c r="F400" s="9">
        <v>81.67</v>
      </c>
      <c r="G400" s="10">
        <v>1000</v>
      </c>
      <c r="H400" s="9" t="s">
        <v>1017</v>
      </c>
      <c r="I400" s="9"/>
      <c r="J400" s="22">
        <f>I400*E400</f>
        <v>0</v>
      </c>
    </row>
    <row r="401" spans="1:10" x14ac:dyDescent="0.3">
      <c r="A401" s="5" t="s">
        <v>1171</v>
      </c>
      <c r="B401" s="6" t="s">
        <v>1172</v>
      </c>
      <c r="C401" s="30" t="s">
        <v>53</v>
      </c>
      <c r="D401" s="32" t="s">
        <v>10</v>
      </c>
      <c r="E401" s="8">
        <v>14</v>
      </c>
      <c r="F401" s="9">
        <v>147.44999999999999</v>
      </c>
      <c r="G401" s="30">
        <v>800</v>
      </c>
      <c r="H401" s="30" t="s">
        <v>1030</v>
      </c>
      <c r="I401" s="30"/>
      <c r="J401" s="39">
        <v>0</v>
      </c>
    </row>
    <row r="402" spans="1:10" x14ac:dyDescent="0.3">
      <c r="A402" s="5">
        <v>1001217</v>
      </c>
      <c r="B402" s="6" t="s">
        <v>1173</v>
      </c>
      <c r="C402" s="30" t="s">
        <v>962</v>
      </c>
      <c r="D402" s="32" t="s">
        <v>1174</v>
      </c>
      <c r="E402" s="8">
        <v>3.25</v>
      </c>
      <c r="F402" s="9">
        <v>16.87</v>
      </c>
      <c r="G402" s="30">
        <v>1800</v>
      </c>
      <c r="H402" s="30" t="s">
        <v>1030</v>
      </c>
      <c r="I402" s="30"/>
      <c r="J402" s="39">
        <v>0</v>
      </c>
    </row>
    <row r="403" spans="1:10" x14ac:dyDescent="0.3">
      <c r="A403" s="5">
        <v>1000964</v>
      </c>
      <c r="B403" s="6" t="s">
        <v>1175</v>
      </c>
      <c r="C403" s="30" t="s">
        <v>1176</v>
      </c>
      <c r="D403" s="32" t="s">
        <v>1052</v>
      </c>
      <c r="E403" s="8">
        <v>7.5</v>
      </c>
      <c r="F403" s="9">
        <v>30.45</v>
      </c>
      <c r="G403" s="30">
        <v>600</v>
      </c>
      <c r="H403" s="30" t="s">
        <v>1030</v>
      </c>
      <c r="I403" s="30"/>
      <c r="J403" s="39">
        <v>0</v>
      </c>
    </row>
    <row r="404" spans="1:10" ht="37.799999999999997" x14ac:dyDescent="0.3">
      <c r="A404" s="5">
        <v>1000302</v>
      </c>
      <c r="B404" s="6" t="s">
        <v>636</v>
      </c>
      <c r="C404" s="7" t="s">
        <v>50</v>
      </c>
      <c r="D404" s="7" t="s">
        <v>42</v>
      </c>
      <c r="E404" s="8">
        <v>18</v>
      </c>
      <c r="F404" s="9">
        <v>77.36</v>
      </c>
      <c r="G404" s="10">
        <v>300</v>
      </c>
      <c r="H404" s="9" t="s">
        <v>1017</v>
      </c>
      <c r="I404" s="9"/>
      <c r="J404" s="22">
        <f>I404*E404</f>
        <v>0</v>
      </c>
    </row>
    <row r="405" spans="1:10" x14ac:dyDescent="0.3">
      <c r="A405" s="5" t="s">
        <v>637</v>
      </c>
      <c r="B405" s="6" t="s">
        <v>638</v>
      </c>
      <c r="C405" s="7" t="s">
        <v>53</v>
      </c>
      <c r="D405" s="7" t="s">
        <v>91</v>
      </c>
      <c r="E405" s="8">
        <v>11</v>
      </c>
      <c r="F405" s="9">
        <v>54.45</v>
      </c>
      <c r="G405" s="10">
        <v>1600</v>
      </c>
      <c r="H405" s="9" t="s">
        <v>1017</v>
      </c>
      <c r="I405" s="9"/>
      <c r="J405" s="22">
        <f>I405*E405</f>
        <v>0</v>
      </c>
    </row>
    <row r="406" spans="1:10" x14ac:dyDescent="0.3">
      <c r="A406" s="5" t="s">
        <v>1177</v>
      </c>
      <c r="B406" s="6" t="s">
        <v>1178</v>
      </c>
      <c r="C406" s="30" t="s">
        <v>1179</v>
      </c>
      <c r="D406" s="32" t="s">
        <v>1180</v>
      </c>
      <c r="E406" s="8">
        <v>22</v>
      </c>
      <c r="F406" s="9">
        <v>85.05</v>
      </c>
      <c r="G406" s="30">
        <v>1080</v>
      </c>
      <c r="H406" s="30" t="s">
        <v>1030</v>
      </c>
      <c r="I406" s="30"/>
      <c r="J406" s="39">
        <v>0</v>
      </c>
    </row>
    <row r="407" spans="1:10" x14ac:dyDescent="0.3">
      <c r="A407" s="5" t="s">
        <v>1181</v>
      </c>
      <c r="B407" s="6" t="s">
        <v>1182</v>
      </c>
      <c r="C407" s="30" t="s">
        <v>53</v>
      </c>
      <c r="D407" s="32" t="s">
        <v>25</v>
      </c>
      <c r="E407" s="8">
        <v>14</v>
      </c>
      <c r="F407" s="9">
        <v>46.4</v>
      </c>
      <c r="G407" s="30">
        <v>1200</v>
      </c>
      <c r="H407" s="30" t="s">
        <v>1030</v>
      </c>
      <c r="I407" s="30"/>
      <c r="J407" s="39">
        <v>0</v>
      </c>
    </row>
    <row r="408" spans="1:10" x14ac:dyDescent="0.3">
      <c r="A408" s="5">
        <v>1000172</v>
      </c>
      <c r="B408" s="6" t="s">
        <v>639</v>
      </c>
      <c r="C408" s="7" t="s">
        <v>24</v>
      </c>
      <c r="D408" s="7" t="s">
        <v>25</v>
      </c>
      <c r="E408" s="8">
        <v>11</v>
      </c>
      <c r="F408" s="9">
        <v>43.6</v>
      </c>
      <c r="G408" s="10">
        <v>1600</v>
      </c>
      <c r="H408" s="9" t="s">
        <v>1017</v>
      </c>
      <c r="I408" s="9"/>
      <c r="J408" s="22">
        <f>I408*E408</f>
        <v>0</v>
      </c>
    </row>
    <row r="409" spans="1:10" x14ac:dyDescent="0.3">
      <c r="A409" s="5" t="s">
        <v>640</v>
      </c>
      <c r="B409" s="6" t="s">
        <v>641</v>
      </c>
      <c r="C409" s="7" t="s">
        <v>642</v>
      </c>
      <c r="D409" s="7" t="s">
        <v>84</v>
      </c>
      <c r="E409" s="8">
        <v>27.5</v>
      </c>
      <c r="F409" s="9">
        <v>136.12</v>
      </c>
      <c r="G409" s="10">
        <v>64</v>
      </c>
      <c r="H409" s="9" t="s">
        <v>1017</v>
      </c>
      <c r="I409" s="9"/>
      <c r="J409" s="22">
        <f>I409*E409</f>
        <v>0</v>
      </c>
    </row>
    <row r="410" spans="1:10" x14ac:dyDescent="0.3">
      <c r="A410" s="5">
        <v>1000173</v>
      </c>
      <c r="B410" s="6" t="s">
        <v>643</v>
      </c>
      <c r="C410" s="7" t="s">
        <v>24</v>
      </c>
      <c r="D410" s="7" t="s">
        <v>25</v>
      </c>
      <c r="E410" s="8">
        <v>11</v>
      </c>
      <c r="F410" s="9">
        <v>47.41</v>
      </c>
      <c r="G410" s="10">
        <v>1600</v>
      </c>
      <c r="H410" s="9" t="s">
        <v>1017</v>
      </c>
      <c r="I410" s="9"/>
      <c r="J410" s="22">
        <f>I410*E410</f>
        <v>0</v>
      </c>
    </row>
    <row r="411" spans="1:10" ht="37.799999999999997" x14ac:dyDescent="0.3">
      <c r="A411" s="5" t="s">
        <v>644</v>
      </c>
      <c r="B411" s="6" t="s">
        <v>645</v>
      </c>
      <c r="C411" s="7" t="s">
        <v>369</v>
      </c>
      <c r="D411" s="7" t="s">
        <v>42</v>
      </c>
      <c r="E411" s="8">
        <v>32</v>
      </c>
      <c r="F411" s="9">
        <v>167.6</v>
      </c>
      <c r="G411" s="10">
        <v>150</v>
      </c>
      <c r="H411" s="9" t="s">
        <v>1017</v>
      </c>
      <c r="I411" s="9"/>
      <c r="J411" s="22">
        <f>I411*E411</f>
        <v>0</v>
      </c>
    </row>
    <row r="412" spans="1:10" x14ac:dyDescent="0.3">
      <c r="A412" s="5" t="s">
        <v>646</v>
      </c>
      <c r="B412" s="6" t="s">
        <v>647</v>
      </c>
      <c r="C412" s="7" t="s">
        <v>341</v>
      </c>
      <c r="D412" s="7" t="s">
        <v>6</v>
      </c>
      <c r="E412" s="8">
        <v>12</v>
      </c>
      <c r="F412" s="9">
        <v>113.43</v>
      </c>
      <c r="G412" s="10">
        <v>720</v>
      </c>
      <c r="H412" s="9" t="s">
        <v>1017</v>
      </c>
      <c r="I412" s="9"/>
      <c r="J412" s="22">
        <f>I412*E412</f>
        <v>0</v>
      </c>
    </row>
    <row r="413" spans="1:10" x14ac:dyDescent="0.3">
      <c r="A413" s="5" t="s">
        <v>648</v>
      </c>
      <c r="B413" s="6" t="s">
        <v>649</v>
      </c>
      <c r="C413" s="7" t="s">
        <v>341</v>
      </c>
      <c r="D413" s="26" t="s">
        <v>6</v>
      </c>
      <c r="E413" s="8">
        <v>15</v>
      </c>
      <c r="F413" s="9">
        <v>215.5</v>
      </c>
      <c r="G413" s="10">
        <v>720</v>
      </c>
      <c r="H413" s="9" t="s">
        <v>1017</v>
      </c>
      <c r="I413" s="9"/>
      <c r="J413" s="22">
        <f>I413*E413</f>
        <v>0</v>
      </c>
    </row>
    <row r="414" spans="1:10" x14ac:dyDescent="0.3">
      <c r="A414" s="5" t="s">
        <v>650</v>
      </c>
      <c r="B414" s="6" t="s">
        <v>651</v>
      </c>
      <c r="C414" s="7" t="s">
        <v>53</v>
      </c>
      <c r="D414" s="7" t="s">
        <v>6</v>
      </c>
      <c r="E414" s="8">
        <v>17</v>
      </c>
      <c r="F414" s="9">
        <v>93.58</v>
      </c>
      <c r="G414" s="10">
        <v>1080</v>
      </c>
      <c r="H414" s="9" t="s">
        <v>1017</v>
      </c>
      <c r="I414" s="9"/>
      <c r="J414" s="22">
        <f>I414*E414</f>
        <v>0</v>
      </c>
    </row>
    <row r="415" spans="1:10" x14ac:dyDescent="0.3">
      <c r="A415" s="5" t="s">
        <v>652</v>
      </c>
      <c r="B415" s="6" t="s">
        <v>653</v>
      </c>
      <c r="C415" s="7" t="s">
        <v>28</v>
      </c>
      <c r="D415" s="7" t="s">
        <v>25</v>
      </c>
      <c r="E415" s="8">
        <v>65</v>
      </c>
      <c r="F415" s="9">
        <v>260.8</v>
      </c>
      <c r="G415" s="10">
        <v>480</v>
      </c>
      <c r="H415" s="9" t="s">
        <v>1017</v>
      </c>
      <c r="I415" s="9"/>
      <c r="J415" s="22">
        <f>I415*E415</f>
        <v>0</v>
      </c>
    </row>
    <row r="416" spans="1:10" x14ac:dyDescent="0.3">
      <c r="A416" s="5" t="s">
        <v>654</v>
      </c>
      <c r="B416" s="6" t="s">
        <v>655</v>
      </c>
      <c r="C416" s="7" t="s">
        <v>28</v>
      </c>
      <c r="D416" s="7" t="s">
        <v>10</v>
      </c>
      <c r="E416" s="8">
        <v>60</v>
      </c>
      <c r="F416" s="9">
        <v>199.29</v>
      </c>
      <c r="G416" s="10">
        <v>800</v>
      </c>
      <c r="H416" s="9" t="s">
        <v>1017</v>
      </c>
      <c r="I416" s="9"/>
      <c r="J416" s="22">
        <f>I416*E416</f>
        <v>0</v>
      </c>
    </row>
    <row r="417" spans="1:10" x14ac:dyDescent="0.3">
      <c r="A417" s="5">
        <v>1001540</v>
      </c>
      <c r="B417" s="6" t="s">
        <v>953</v>
      </c>
      <c r="C417" s="26" t="s">
        <v>276</v>
      </c>
      <c r="D417" s="26" t="s">
        <v>6</v>
      </c>
      <c r="E417" s="8">
        <v>75</v>
      </c>
      <c r="F417" s="9">
        <v>275</v>
      </c>
      <c r="G417" s="29">
        <v>500</v>
      </c>
      <c r="H417" s="9" t="s">
        <v>1017</v>
      </c>
      <c r="I417" s="9"/>
      <c r="J417" s="22">
        <f>I417*E417</f>
        <v>0</v>
      </c>
    </row>
    <row r="418" spans="1:10" x14ac:dyDescent="0.3">
      <c r="A418" s="5">
        <v>1000540</v>
      </c>
      <c r="B418" s="6" t="s">
        <v>656</v>
      </c>
      <c r="C418" s="7" t="s">
        <v>657</v>
      </c>
      <c r="D418" s="7" t="s">
        <v>6</v>
      </c>
      <c r="E418" s="8">
        <v>18.5</v>
      </c>
      <c r="F418" s="9">
        <v>101.6</v>
      </c>
      <c r="G418" s="10">
        <v>1000</v>
      </c>
      <c r="H418" s="9" t="s">
        <v>1017</v>
      </c>
      <c r="I418" s="9"/>
      <c r="J418" s="22">
        <f>I418*E418</f>
        <v>0</v>
      </c>
    </row>
    <row r="419" spans="1:10" x14ac:dyDescent="0.3">
      <c r="A419" s="35" t="s">
        <v>1183</v>
      </c>
      <c r="B419" s="34" t="s">
        <v>1184</v>
      </c>
      <c r="C419" s="35" t="s">
        <v>923</v>
      </c>
      <c r="D419" s="36" t="s">
        <v>288</v>
      </c>
      <c r="E419" s="37">
        <v>110</v>
      </c>
      <c r="F419" s="38">
        <v>309.37</v>
      </c>
      <c r="G419" s="35">
        <v>800</v>
      </c>
      <c r="H419" s="35" t="s">
        <v>1030</v>
      </c>
      <c r="I419" s="35"/>
      <c r="J419" s="39">
        <v>0</v>
      </c>
    </row>
    <row r="420" spans="1:10" x14ac:dyDescent="0.3">
      <c r="A420" s="30" t="s">
        <v>1185</v>
      </c>
      <c r="B420" s="31" t="s">
        <v>1186</v>
      </c>
      <c r="C420" s="30" t="s">
        <v>53</v>
      </c>
      <c r="D420" s="32" t="s">
        <v>6</v>
      </c>
      <c r="E420" s="8">
        <v>28</v>
      </c>
      <c r="F420" s="9">
        <v>102</v>
      </c>
      <c r="G420" s="30">
        <v>1600</v>
      </c>
      <c r="H420" s="30" t="s">
        <v>1030</v>
      </c>
      <c r="I420" s="30"/>
      <c r="J420" s="39">
        <v>0</v>
      </c>
    </row>
    <row r="421" spans="1:10" x14ac:dyDescent="0.3">
      <c r="A421" s="5" t="s">
        <v>658</v>
      </c>
      <c r="B421" s="6" t="s">
        <v>659</v>
      </c>
      <c r="C421" s="7" t="s">
        <v>67</v>
      </c>
      <c r="D421" s="7" t="s">
        <v>10</v>
      </c>
      <c r="E421" s="8">
        <v>16.5</v>
      </c>
      <c r="F421" s="9">
        <v>151.6</v>
      </c>
      <c r="G421" s="10">
        <v>720</v>
      </c>
      <c r="H421" s="9" t="s">
        <v>1017</v>
      </c>
      <c r="I421" s="9"/>
      <c r="J421" s="22">
        <f>I421*E421</f>
        <v>0</v>
      </c>
    </row>
    <row r="422" spans="1:10" x14ac:dyDescent="0.3">
      <c r="A422" s="5" t="s">
        <v>660</v>
      </c>
      <c r="B422" s="6" t="s">
        <v>661</v>
      </c>
      <c r="C422" s="7" t="s">
        <v>67</v>
      </c>
      <c r="D422" s="7" t="s">
        <v>10</v>
      </c>
      <c r="E422" s="8">
        <v>22</v>
      </c>
      <c r="F422" s="9">
        <v>272.25</v>
      </c>
      <c r="G422" s="10">
        <v>720</v>
      </c>
      <c r="H422" s="9" t="s">
        <v>1017</v>
      </c>
      <c r="I422" s="9"/>
      <c r="J422" s="22">
        <f>I422*E422</f>
        <v>0</v>
      </c>
    </row>
    <row r="423" spans="1:10" x14ac:dyDescent="0.3">
      <c r="A423" s="5" t="s">
        <v>662</v>
      </c>
      <c r="B423" s="6" t="s">
        <v>663</v>
      </c>
      <c r="C423" s="7" t="s">
        <v>21</v>
      </c>
      <c r="D423" s="7" t="s">
        <v>10</v>
      </c>
      <c r="E423" s="8">
        <v>24.5</v>
      </c>
      <c r="F423" s="9">
        <v>179.23</v>
      </c>
      <c r="G423" s="10">
        <v>600</v>
      </c>
      <c r="H423" s="9" t="s">
        <v>1017</v>
      </c>
      <c r="I423" s="9"/>
      <c r="J423" s="22">
        <f>I423*E423</f>
        <v>0</v>
      </c>
    </row>
    <row r="424" spans="1:10" x14ac:dyDescent="0.3">
      <c r="A424" s="5" t="s">
        <v>664</v>
      </c>
      <c r="B424" s="6" t="s">
        <v>665</v>
      </c>
      <c r="C424" s="7" t="s">
        <v>56</v>
      </c>
      <c r="D424" s="7" t="s">
        <v>10</v>
      </c>
      <c r="E424" s="8">
        <v>38</v>
      </c>
      <c r="F424" s="9">
        <v>199.6</v>
      </c>
      <c r="G424" s="10">
        <v>480</v>
      </c>
      <c r="H424" s="9" t="s">
        <v>1017</v>
      </c>
      <c r="I424" s="9"/>
      <c r="J424" s="22">
        <f>I424*E424</f>
        <v>0</v>
      </c>
    </row>
    <row r="425" spans="1:10" x14ac:dyDescent="0.3">
      <c r="A425" s="5" t="s">
        <v>666</v>
      </c>
      <c r="B425" s="6" t="s">
        <v>667</v>
      </c>
      <c r="C425" s="7" t="s">
        <v>56</v>
      </c>
      <c r="D425" s="7" t="s">
        <v>10</v>
      </c>
      <c r="E425" s="8">
        <v>43</v>
      </c>
      <c r="F425" s="9">
        <v>277.89999999999998</v>
      </c>
      <c r="G425" s="10">
        <v>480</v>
      </c>
      <c r="H425" s="9" t="s">
        <v>1017</v>
      </c>
      <c r="I425" s="9"/>
      <c r="J425" s="22">
        <f>I425*E425</f>
        <v>0</v>
      </c>
    </row>
    <row r="426" spans="1:10" x14ac:dyDescent="0.3">
      <c r="A426" s="5" t="s">
        <v>668</v>
      </c>
      <c r="B426" s="6" t="s">
        <v>669</v>
      </c>
      <c r="C426" s="7" t="s">
        <v>341</v>
      </c>
      <c r="D426" s="7" t="s">
        <v>6</v>
      </c>
      <c r="E426" s="8">
        <v>53</v>
      </c>
      <c r="F426" s="9">
        <v>102.53</v>
      </c>
      <c r="G426" s="10">
        <v>1000</v>
      </c>
      <c r="H426" s="9" t="s">
        <v>1017</v>
      </c>
      <c r="I426" s="9"/>
      <c r="J426" s="22">
        <f>I426*E426</f>
        <v>0</v>
      </c>
    </row>
    <row r="427" spans="1:10" x14ac:dyDescent="0.3">
      <c r="A427" s="5" t="s">
        <v>670</v>
      </c>
      <c r="B427" s="6" t="s">
        <v>671</v>
      </c>
      <c r="C427" s="7" t="s">
        <v>53</v>
      </c>
      <c r="D427" s="7" t="s">
        <v>672</v>
      </c>
      <c r="E427" s="8">
        <v>46</v>
      </c>
      <c r="F427" s="9">
        <v>398.43</v>
      </c>
      <c r="G427" s="10">
        <v>1440</v>
      </c>
      <c r="H427" s="9" t="s">
        <v>1017</v>
      </c>
      <c r="I427" s="9"/>
      <c r="J427" s="22">
        <f>I427*E427</f>
        <v>0</v>
      </c>
    </row>
    <row r="428" spans="1:10" x14ac:dyDescent="0.3">
      <c r="A428" s="5" t="s">
        <v>1187</v>
      </c>
      <c r="B428" s="6" t="s">
        <v>1188</v>
      </c>
      <c r="C428" s="30" t="s">
        <v>1189</v>
      </c>
      <c r="D428" s="32" t="s">
        <v>1078</v>
      </c>
      <c r="E428" s="8">
        <v>17.5</v>
      </c>
      <c r="F428" s="9">
        <v>263.14</v>
      </c>
      <c r="G428" s="30">
        <v>300</v>
      </c>
      <c r="H428" s="30" t="s">
        <v>1030</v>
      </c>
      <c r="I428" s="30"/>
      <c r="J428" s="39">
        <v>0</v>
      </c>
    </row>
    <row r="429" spans="1:10" x14ac:dyDescent="0.3">
      <c r="A429" s="5">
        <v>1000727</v>
      </c>
      <c r="B429" s="6" t="s">
        <v>673</v>
      </c>
      <c r="C429" s="7" t="s">
        <v>674</v>
      </c>
      <c r="D429" s="7" t="s">
        <v>408</v>
      </c>
      <c r="E429" s="8">
        <v>31</v>
      </c>
      <c r="F429" s="9">
        <v>150.69999999999999</v>
      </c>
      <c r="G429" s="10">
        <v>200</v>
      </c>
      <c r="H429" s="9" t="s">
        <v>1017</v>
      </c>
      <c r="I429" s="9"/>
      <c r="J429" s="22">
        <f>I429*E429</f>
        <v>0</v>
      </c>
    </row>
    <row r="430" spans="1:10" x14ac:dyDescent="0.3">
      <c r="A430" s="5">
        <v>1001112</v>
      </c>
      <c r="B430" s="6" t="s">
        <v>675</v>
      </c>
      <c r="C430" s="7" t="s">
        <v>79</v>
      </c>
      <c r="D430" s="7" t="s">
        <v>676</v>
      </c>
      <c r="E430" s="8">
        <v>35</v>
      </c>
      <c r="F430" s="9">
        <v>108.28</v>
      </c>
      <c r="G430" s="10">
        <v>100</v>
      </c>
      <c r="H430" s="9" t="s">
        <v>1017</v>
      </c>
      <c r="I430" s="9"/>
      <c r="J430" s="22">
        <f>I430*E430</f>
        <v>0</v>
      </c>
    </row>
    <row r="431" spans="1:10" x14ac:dyDescent="0.3">
      <c r="A431" s="5">
        <v>1001442</v>
      </c>
      <c r="B431" s="6" t="s">
        <v>932</v>
      </c>
      <c r="C431" s="7" t="s">
        <v>933</v>
      </c>
      <c r="D431" s="7" t="s">
        <v>16</v>
      </c>
      <c r="E431" s="8">
        <v>47</v>
      </c>
      <c r="F431" s="9">
        <v>129</v>
      </c>
      <c r="G431" s="10">
        <v>144</v>
      </c>
      <c r="H431" s="9" t="s">
        <v>1017</v>
      </c>
      <c r="I431" s="9"/>
      <c r="J431" s="22">
        <f>I431*E431</f>
        <v>0</v>
      </c>
    </row>
    <row r="432" spans="1:10" x14ac:dyDescent="0.3">
      <c r="A432" s="5">
        <v>1001110</v>
      </c>
      <c r="B432" s="6" t="s">
        <v>677</v>
      </c>
      <c r="C432" s="7" t="s">
        <v>933</v>
      </c>
      <c r="D432" s="7" t="s">
        <v>16</v>
      </c>
      <c r="E432" s="8">
        <v>47</v>
      </c>
      <c r="F432" s="9">
        <v>129.19999999999999</v>
      </c>
      <c r="G432" s="10">
        <v>144</v>
      </c>
      <c r="H432" s="9" t="s">
        <v>1017</v>
      </c>
      <c r="I432" s="9"/>
      <c r="J432" s="22">
        <f>I432*E432</f>
        <v>0</v>
      </c>
    </row>
    <row r="433" spans="1:10" x14ac:dyDescent="0.3">
      <c r="A433" s="5" t="s">
        <v>678</v>
      </c>
      <c r="B433" s="6" t="s">
        <v>679</v>
      </c>
      <c r="C433" s="7" t="s">
        <v>680</v>
      </c>
      <c r="D433" s="7" t="s">
        <v>6</v>
      </c>
      <c r="E433" s="8">
        <v>9.5</v>
      </c>
      <c r="F433" s="9">
        <v>96.41</v>
      </c>
      <c r="G433" s="10">
        <v>2400</v>
      </c>
      <c r="H433" s="9" t="s">
        <v>1017</v>
      </c>
      <c r="I433" s="9"/>
      <c r="J433" s="22">
        <f>I433*E433</f>
        <v>0</v>
      </c>
    </row>
    <row r="434" spans="1:10" x14ac:dyDescent="0.3">
      <c r="A434" s="5" t="s">
        <v>681</v>
      </c>
      <c r="B434" s="6" t="s">
        <v>682</v>
      </c>
      <c r="C434" s="7" t="s">
        <v>21</v>
      </c>
      <c r="D434" s="7" t="s">
        <v>10</v>
      </c>
      <c r="E434" s="8">
        <v>65.25</v>
      </c>
      <c r="F434" s="9">
        <v>255.23</v>
      </c>
      <c r="G434" s="10">
        <v>400</v>
      </c>
      <c r="H434" s="9" t="s">
        <v>1017</v>
      </c>
      <c r="I434" s="9"/>
      <c r="J434" s="22">
        <f>I434*E434</f>
        <v>0</v>
      </c>
    </row>
    <row r="435" spans="1:10" x14ac:dyDescent="0.3">
      <c r="A435" s="5" t="s">
        <v>683</v>
      </c>
      <c r="B435" s="6" t="s">
        <v>684</v>
      </c>
      <c r="C435" s="26" t="s">
        <v>21</v>
      </c>
      <c r="D435" s="26" t="s">
        <v>10</v>
      </c>
      <c r="E435" s="8">
        <v>65.5</v>
      </c>
      <c r="F435" s="9">
        <v>489.84</v>
      </c>
      <c r="G435" s="29">
        <v>320</v>
      </c>
      <c r="H435" s="9" t="s">
        <v>1017</v>
      </c>
      <c r="I435" s="9"/>
      <c r="J435" s="22">
        <f>I435*E435</f>
        <v>0</v>
      </c>
    </row>
    <row r="436" spans="1:10" x14ac:dyDescent="0.3">
      <c r="A436" s="5">
        <v>1001550</v>
      </c>
      <c r="B436" s="6" t="s">
        <v>1019</v>
      </c>
      <c r="C436" s="7" t="s">
        <v>1020</v>
      </c>
      <c r="D436" s="7" t="s">
        <v>92</v>
      </c>
      <c r="E436" s="8">
        <v>5.5</v>
      </c>
      <c r="F436" s="9">
        <v>20</v>
      </c>
      <c r="G436" s="10">
        <v>3000</v>
      </c>
      <c r="H436" s="9" t="s">
        <v>1017</v>
      </c>
      <c r="I436" s="9"/>
      <c r="J436" s="22">
        <f>I436*E436</f>
        <v>0</v>
      </c>
    </row>
    <row r="437" spans="1:10" x14ac:dyDescent="0.3">
      <c r="A437" s="5">
        <v>1000542</v>
      </c>
      <c r="B437" s="6" t="s">
        <v>685</v>
      </c>
      <c r="C437" s="7" t="s">
        <v>657</v>
      </c>
      <c r="D437" s="7" t="s">
        <v>6</v>
      </c>
      <c r="E437" s="8">
        <v>16</v>
      </c>
      <c r="F437" s="9">
        <v>58.96</v>
      </c>
      <c r="G437" s="10">
        <v>960</v>
      </c>
      <c r="H437" s="9" t="s">
        <v>1017</v>
      </c>
      <c r="I437" s="9"/>
      <c r="J437" s="22">
        <f>I437*E437</f>
        <v>0</v>
      </c>
    </row>
    <row r="438" spans="1:10" ht="37.799999999999997" x14ac:dyDescent="0.3">
      <c r="A438" s="5" t="s">
        <v>686</v>
      </c>
      <c r="B438" s="6" t="s">
        <v>687</v>
      </c>
      <c r="C438" s="7" t="s">
        <v>100</v>
      </c>
      <c r="D438" s="7" t="s">
        <v>42</v>
      </c>
      <c r="E438" s="8">
        <v>24</v>
      </c>
      <c r="F438" s="9">
        <v>102.09</v>
      </c>
      <c r="G438" s="10">
        <v>150</v>
      </c>
      <c r="H438" s="9" t="s">
        <v>1017</v>
      </c>
      <c r="I438" s="9"/>
      <c r="J438" s="22">
        <f>I438*E438</f>
        <v>0</v>
      </c>
    </row>
    <row r="439" spans="1:10" ht="37.799999999999997" x14ac:dyDescent="0.3">
      <c r="A439" s="5" t="s">
        <v>688</v>
      </c>
      <c r="B439" s="6" t="s">
        <v>689</v>
      </c>
      <c r="C439" s="7" t="s">
        <v>247</v>
      </c>
      <c r="D439" s="7" t="s">
        <v>42</v>
      </c>
      <c r="E439" s="8">
        <v>17.5</v>
      </c>
      <c r="F439" s="9">
        <v>74.849999999999994</v>
      </c>
      <c r="G439" s="10">
        <v>200</v>
      </c>
      <c r="H439" s="9" t="s">
        <v>1017</v>
      </c>
      <c r="I439" s="9"/>
      <c r="J439" s="22">
        <f>I439*E439</f>
        <v>0</v>
      </c>
    </row>
    <row r="440" spans="1:10" ht="37.799999999999997" x14ac:dyDescent="0.3">
      <c r="A440" s="24" t="s">
        <v>690</v>
      </c>
      <c r="B440" s="25" t="s">
        <v>691</v>
      </c>
      <c r="C440" s="26" t="s">
        <v>247</v>
      </c>
      <c r="D440" s="26" t="s">
        <v>42</v>
      </c>
      <c r="E440" s="27">
        <v>19.5</v>
      </c>
      <c r="F440" s="28">
        <v>81</v>
      </c>
      <c r="G440" s="29">
        <v>200</v>
      </c>
      <c r="H440" s="28" t="s">
        <v>1017</v>
      </c>
      <c r="I440" s="28"/>
      <c r="J440" s="22">
        <f>I440*E440</f>
        <v>0</v>
      </c>
    </row>
    <row r="441" spans="1:10" x14ac:dyDescent="0.3">
      <c r="A441" s="5" t="s">
        <v>692</v>
      </c>
      <c r="B441" s="6" t="s">
        <v>693</v>
      </c>
      <c r="C441" s="7" t="s">
        <v>694</v>
      </c>
      <c r="D441" s="7" t="s">
        <v>6</v>
      </c>
      <c r="E441" s="8">
        <v>10.5</v>
      </c>
      <c r="F441" s="9">
        <v>63.6</v>
      </c>
      <c r="G441" s="10">
        <v>1500</v>
      </c>
      <c r="H441" s="9" t="s">
        <v>1017</v>
      </c>
      <c r="I441" s="9"/>
      <c r="J441" s="22">
        <f>I441*E441</f>
        <v>0</v>
      </c>
    </row>
    <row r="442" spans="1:10" ht="37.799999999999997" x14ac:dyDescent="0.3">
      <c r="A442" s="5">
        <v>1000270</v>
      </c>
      <c r="B442" s="6" t="s">
        <v>695</v>
      </c>
      <c r="C442" s="7" t="s">
        <v>61</v>
      </c>
      <c r="D442" s="7" t="s">
        <v>42</v>
      </c>
      <c r="E442" s="8">
        <v>15</v>
      </c>
      <c r="F442" s="9">
        <v>55</v>
      </c>
      <c r="G442" s="10">
        <v>400</v>
      </c>
      <c r="H442" s="9" t="s">
        <v>1017</v>
      </c>
      <c r="I442" s="9"/>
      <c r="J442" s="22">
        <f>I442*E442</f>
        <v>0</v>
      </c>
    </row>
    <row r="443" spans="1:10" x14ac:dyDescent="0.3">
      <c r="A443" s="35">
        <v>1001247</v>
      </c>
      <c r="B443" s="34" t="s">
        <v>991</v>
      </c>
      <c r="C443" s="35" t="s">
        <v>992</v>
      </c>
      <c r="D443" s="36" t="s">
        <v>129</v>
      </c>
      <c r="E443" s="37">
        <v>14.75</v>
      </c>
      <c r="F443" s="38">
        <v>45</v>
      </c>
      <c r="G443" s="35">
        <v>480</v>
      </c>
      <c r="H443" s="35" t="s">
        <v>1017</v>
      </c>
      <c r="I443" s="35"/>
      <c r="J443" s="22">
        <f>I443*E443</f>
        <v>0</v>
      </c>
    </row>
    <row r="444" spans="1:10" x14ac:dyDescent="0.3">
      <c r="A444" s="35">
        <v>1001248</v>
      </c>
      <c r="B444" s="34" t="s">
        <v>993</v>
      </c>
      <c r="C444" s="35" t="s">
        <v>994</v>
      </c>
      <c r="D444" s="36" t="s">
        <v>129</v>
      </c>
      <c r="E444" s="37">
        <v>30.7</v>
      </c>
      <c r="F444" s="38">
        <v>103.12</v>
      </c>
      <c r="G444" s="35">
        <v>320</v>
      </c>
      <c r="H444" s="35" t="s">
        <v>1017</v>
      </c>
      <c r="I444" s="35"/>
      <c r="J444" s="22">
        <f>I444*E444</f>
        <v>0</v>
      </c>
    </row>
    <row r="445" spans="1:10" ht="37.799999999999997" x14ac:dyDescent="0.3">
      <c r="A445" s="5">
        <v>1001331</v>
      </c>
      <c r="B445" s="6" t="s">
        <v>696</v>
      </c>
      <c r="C445" s="7" t="s">
        <v>65</v>
      </c>
      <c r="D445" s="7" t="s">
        <v>42</v>
      </c>
      <c r="E445" s="8">
        <v>14</v>
      </c>
      <c r="F445" s="9">
        <v>63.75</v>
      </c>
      <c r="G445" s="10">
        <v>200</v>
      </c>
      <c r="H445" s="9" t="s">
        <v>1017</v>
      </c>
      <c r="I445" s="9"/>
      <c r="J445" s="22">
        <f>I445*E445</f>
        <v>0</v>
      </c>
    </row>
    <row r="446" spans="1:10" ht="37.799999999999997" x14ac:dyDescent="0.3">
      <c r="A446" s="5" t="s">
        <v>697</v>
      </c>
      <c r="B446" s="6" t="s">
        <v>698</v>
      </c>
      <c r="C446" s="7" t="s">
        <v>247</v>
      </c>
      <c r="D446" s="7" t="s">
        <v>42</v>
      </c>
      <c r="E446" s="8">
        <v>17.5</v>
      </c>
      <c r="F446" s="9">
        <v>67.34</v>
      </c>
      <c r="G446" s="10">
        <v>200</v>
      </c>
      <c r="H446" s="9" t="s">
        <v>1017</v>
      </c>
      <c r="I446" s="9"/>
      <c r="J446" s="22">
        <f>I446*E446</f>
        <v>0</v>
      </c>
    </row>
    <row r="447" spans="1:10" x14ac:dyDescent="0.3">
      <c r="A447" s="5" t="s">
        <v>699</v>
      </c>
      <c r="B447" s="6" t="s">
        <v>700</v>
      </c>
      <c r="C447" s="7" t="s">
        <v>240</v>
      </c>
      <c r="D447" s="7" t="s">
        <v>6</v>
      </c>
      <c r="E447" s="8">
        <v>10.5</v>
      </c>
      <c r="F447" s="9">
        <v>55.45</v>
      </c>
      <c r="G447" s="10">
        <v>1620</v>
      </c>
      <c r="H447" s="9" t="s">
        <v>1017</v>
      </c>
      <c r="I447" s="9"/>
      <c r="J447" s="22">
        <f>I447*E447</f>
        <v>0</v>
      </c>
    </row>
    <row r="448" spans="1:10" x14ac:dyDescent="0.3">
      <c r="A448" s="5">
        <v>1000594</v>
      </c>
      <c r="B448" s="6" t="s">
        <v>701</v>
      </c>
      <c r="C448" s="7" t="s">
        <v>53</v>
      </c>
      <c r="D448" s="7" t="s">
        <v>6</v>
      </c>
      <c r="E448" s="8">
        <v>17</v>
      </c>
      <c r="F448" s="9">
        <v>70.12</v>
      </c>
      <c r="G448" s="10">
        <v>940</v>
      </c>
      <c r="H448" s="9" t="s">
        <v>1017</v>
      </c>
      <c r="I448" s="9"/>
      <c r="J448" s="22">
        <f>I448*E448</f>
        <v>0</v>
      </c>
    </row>
    <row r="449" spans="1:10" x14ac:dyDescent="0.3">
      <c r="A449" s="5" t="s">
        <v>702</v>
      </c>
      <c r="B449" s="6" t="s">
        <v>703</v>
      </c>
      <c r="C449" s="7" t="s">
        <v>21</v>
      </c>
      <c r="D449" s="7" t="s">
        <v>143</v>
      </c>
      <c r="E449" s="8">
        <v>52.15</v>
      </c>
      <c r="F449" s="9">
        <v>273.27999999999997</v>
      </c>
      <c r="G449" s="10">
        <v>720</v>
      </c>
      <c r="H449" s="9" t="s">
        <v>1017</v>
      </c>
      <c r="I449" s="9"/>
      <c r="J449" s="22">
        <f>I449*E449</f>
        <v>0</v>
      </c>
    </row>
    <row r="450" spans="1:10" x14ac:dyDescent="0.3">
      <c r="A450" s="5" t="s">
        <v>704</v>
      </c>
      <c r="B450" s="6" t="s">
        <v>705</v>
      </c>
      <c r="C450" s="7" t="s">
        <v>706</v>
      </c>
      <c r="D450" s="7" t="s">
        <v>707</v>
      </c>
      <c r="E450" s="8">
        <v>22.5</v>
      </c>
      <c r="F450" s="9">
        <v>144.35</v>
      </c>
      <c r="G450" s="10">
        <v>1152</v>
      </c>
      <c r="H450" s="9" t="s">
        <v>1017</v>
      </c>
      <c r="I450" s="9"/>
      <c r="J450" s="22">
        <f>I450*E450</f>
        <v>0</v>
      </c>
    </row>
    <row r="451" spans="1:10" x14ac:dyDescent="0.3">
      <c r="A451" s="5" t="s">
        <v>708</v>
      </c>
      <c r="B451" s="6" t="s">
        <v>709</v>
      </c>
      <c r="C451" s="7" t="s">
        <v>706</v>
      </c>
      <c r="D451" s="7" t="s">
        <v>707</v>
      </c>
      <c r="E451" s="8">
        <v>15.25</v>
      </c>
      <c r="F451" s="9">
        <v>136.1</v>
      </c>
      <c r="G451" s="10">
        <v>1152</v>
      </c>
      <c r="H451" s="9" t="s">
        <v>1017</v>
      </c>
      <c r="I451" s="9"/>
      <c r="J451" s="22">
        <f>I451*E451</f>
        <v>0</v>
      </c>
    </row>
    <row r="452" spans="1:10" x14ac:dyDescent="0.3">
      <c r="A452" s="5">
        <v>1001259</v>
      </c>
      <c r="B452" s="6" t="s">
        <v>710</v>
      </c>
      <c r="C452" s="7" t="s">
        <v>28</v>
      </c>
      <c r="D452" s="7" t="s">
        <v>310</v>
      </c>
      <c r="E452" s="14">
        <v>61.35</v>
      </c>
      <c r="F452" s="9">
        <v>225</v>
      </c>
      <c r="G452" s="10">
        <v>550</v>
      </c>
      <c r="H452" s="9" t="s">
        <v>1017</v>
      </c>
      <c r="I452" s="9"/>
      <c r="J452" s="22">
        <f>I452*E452</f>
        <v>0</v>
      </c>
    </row>
    <row r="453" spans="1:10" x14ac:dyDescent="0.3">
      <c r="A453" s="5">
        <v>1001258</v>
      </c>
      <c r="B453" s="6" t="s">
        <v>711</v>
      </c>
      <c r="C453" s="7" t="s">
        <v>28</v>
      </c>
      <c r="D453" s="7" t="s">
        <v>310</v>
      </c>
      <c r="E453" s="14">
        <v>59.3</v>
      </c>
      <c r="F453" s="9">
        <v>215.62</v>
      </c>
      <c r="G453" s="10">
        <v>600</v>
      </c>
      <c r="H453" s="9" t="s">
        <v>1017</v>
      </c>
      <c r="I453" s="9"/>
      <c r="J453" s="22">
        <f>I453*E453</f>
        <v>0</v>
      </c>
    </row>
    <row r="454" spans="1:10" x14ac:dyDescent="0.3">
      <c r="A454" s="5" t="s">
        <v>712</v>
      </c>
      <c r="B454" s="6" t="s">
        <v>713</v>
      </c>
      <c r="C454" s="7" t="s">
        <v>714</v>
      </c>
      <c r="D454" s="7" t="s">
        <v>707</v>
      </c>
      <c r="E454" s="14">
        <v>56.4</v>
      </c>
      <c r="F454" s="9">
        <v>272.25</v>
      </c>
      <c r="G454" s="10">
        <v>480</v>
      </c>
      <c r="H454" s="9" t="s">
        <v>1017</v>
      </c>
      <c r="I454" s="9"/>
      <c r="J454" s="22">
        <f>I454*E454</f>
        <v>0</v>
      </c>
    </row>
    <row r="455" spans="1:10" x14ac:dyDescent="0.3">
      <c r="A455" s="5" t="s">
        <v>715</v>
      </c>
      <c r="B455" s="6" t="s">
        <v>716</v>
      </c>
      <c r="C455" s="7" t="s">
        <v>714</v>
      </c>
      <c r="D455" s="7" t="s">
        <v>707</v>
      </c>
      <c r="E455" s="14">
        <v>42.945</v>
      </c>
      <c r="F455" s="9">
        <v>249.56</v>
      </c>
      <c r="G455" s="10">
        <v>480</v>
      </c>
      <c r="H455" s="9" t="s">
        <v>1017</v>
      </c>
      <c r="I455" s="9"/>
      <c r="J455" s="22">
        <f>I455*E455</f>
        <v>0</v>
      </c>
    </row>
    <row r="456" spans="1:10" x14ac:dyDescent="0.3">
      <c r="A456" s="5">
        <v>1000412</v>
      </c>
      <c r="B456" s="6" t="s">
        <v>717</v>
      </c>
      <c r="C456" s="7" t="s">
        <v>19</v>
      </c>
      <c r="D456" s="7" t="s">
        <v>16</v>
      </c>
      <c r="E456" s="8">
        <v>28</v>
      </c>
      <c r="F456" s="9">
        <v>170.7</v>
      </c>
      <c r="G456" s="10">
        <v>576</v>
      </c>
      <c r="H456" s="9" t="s">
        <v>1017</v>
      </c>
      <c r="I456" s="9"/>
      <c r="J456" s="22">
        <f>I456*E456</f>
        <v>0</v>
      </c>
    </row>
    <row r="457" spans="1:10" x14ac:dyDescent="0.3">
      <c r="A457" s="5">
        <v>1001242</v>
      </c>
      <c r="B457" s="6" t="s">
        <v>718</v>
      </c>
      <c r="C457" s="7" t="s">
        <v>56</v>
      </c>
      <c r="D457" s="7" t="s">
        <v>6</v>
      </c>
      <c r="E457" s="8">
        <v>70</v>
      </c>
      <c r="F457" s="9">
        <v>510</v>
      </c>
      <c r="G457" s="10">
        <v>840</v>
      </c>
      <c r="H457" s="9" t="s">
        <v>1017</v>
      </c>
      <c r="I457" s="9"/>
      <c r="J457" s="22">
        <f>I457*E457</f>
        <v>0</v>
      </c>
    </row>
    <row r="458" spans="1:10" x14ac:dyDescent="0.3">
      <c r="A458" s="5">
        <v>1001274</v>
      </c>
      <c r="B458" s="6" t="s">
        <v>719</v>
      </c>
      <c r="C458" s="7" t="s">
        <v>720</v>
      </c>
      <c r="D458" s="7" t="s">
        <v>16</v>
      </c>
      <c r="E458" s="8">
        <v>22.5</v>
      </c>
      <c r="F458" s="9">
        <v>134</v>
      </c>
      <c r="G458" s="10">
        <v>384</v>
      </c>
      <c r="H458" s="9" t="s">
        <v>1017</v>
      </c>
      <c r="I458" s="9"/>
      <c r="J458" s="22">
        <f>I458*E458</f>
        <v>0</v>
      </c>
    </row>
    <row r="459" spans="1:10" x14ac:dyDescent="0.3">
      <c r="A459" s="5" t="s">
        <v>721</v>
      </c>
      <c r="B459" s="6" t="s">
        <v>722</v>
      </c>
      <c r="C459" s="7" t="s">
        <v>723</v>
      </c>
      <c r="D459" s="7" t="s">
        <v>940</v>
      </c>
      <c r="E459" s="8">
        <v>18.5</v>
      </c>
      <c r="F459" s="9">
        <v>89</v>
      </c>
      <c r="G459" s="10">
        <v>200</v>
      </c>
      <c r="H459" s="9" t="s">
        <v>1017</v>
      </c>
      <c r="I459" s="9"/>
      <c r="J459" s="22">
        <f>I459*E459</f>
        <v>0</v>
      </c>
    </row>
    <row r="460" spans="1:10" x14ac:dyDescent="0.3">
      <c r="A460" s="30">
        <v>1000410</v>
      </c>
      <c r="B460" s="31" t="s">
        <v>1190</v>
      </c>
      <c r="C460" s="30" t="s">
        <v>680</v>
      </c>
      <c r="D460" s="32" t="s">
        <v>6</v>
      </c>
      <c r="E460" s="8">
        <v>9</v>
      </c>
      <c r="F460" s="9">
        <v>58.95</v>
      </c>
      <c r="G460" s="30">
        <v>1200</v>
      </c>
      <c r="H460" s="30" t="s">
        <v>1030</v>
      </c>
      <c r="I460" s="30"/>
      <c r="J460" s="39">
        <v>0</v>
      </c>
    </row>
    <row r="461" spans="1:10" x14ac:dyDescent="0.3">
      <c r="A461" s="5" t="s">
        <v>1191</v>
      </c>
      <c r="B461" s="6" t="s">
        <v>1192</v>
      </c>
      <c r="C461" s="30" t="s">
        <v>53</v>
      </c>
      <c r="D461" s="32" t="s">
        <v>400</v>
      </c>
      <c r="E461" s="8">
        <v>14.5</v>
      </c>
      <c r="F461" s="9">
        <v>58.98</v>
      </c>
      <c r="G461" s="30">
        <v>900</v>
      </c>
      <c r="H461" s="30" t="s">
        <v>1030</v>
      </c>
      <c r="I461" s="30"/>
      <c r="J461" s="39">
        <v>0</v>
      </c>
    </row>
    <row r="462" spans="1:10" x14ac:dyDescent="0.3">
      <c r="A462" s="5" t="s">
        <v>1193</v>
      </c>
      <c r="B462" s="6" t="s">
        <v>1194</v>
      </c>
      <c r="C462" s="30" t="s">
        <v>53</v>
      </c>
      <c r="D462" s="32" t="s">
        <v>6</v>
      </c>
      <c r="E462" s="8">
        <v>26</v>
      </c>
      <c r="F462" s="9">
        <v>77.150000000000006</v>
      </c>
      <c r="G462" s="30">
        <v>1440</v>
      </c>
      <c r="H462" s="30" t="s">
        <v>1030</v>
      </c>
      <c r="I462" s="30"/>
      <c r="J462" s="39">
        <v>0</v>
      </c>
    </row>
    <row r="463" spans="1:10" x14ac:dyDescent="0.3">
      <c r="A463" s="5" t="s">
        <v>1195</v>
      </c>
      <c r="B463" s="6" t="s">
        <v>1196</v>
      </c>
      <c r="C463" s="30" t="s">
        <v>53</v>
      </c>
      <c r="D463" s="32" t="s">
        <v>400</v>
      </c>
      <c r="E463" s="8">
        <v>26</v>
      </c>
      <c r="F463" s="9">
        <v>137.25</v>
      </c>
      <c r="G463" s="30">
        <v>720</v>
      </c>
      <c r="H463" s="30" t="s">
        <v>1030</v>
      </c>
      <c r="I463" s="30"/>
      <c r="J463" s="39">
        <v>0</v>
      </c>
    </row>
    <row r="464" spans="1:10" x14ac:dyDescent="0.3">
      <c r="A464" s="5" t="s">
        <v>1197</v>
      </c>
      <c r="B464" s="6" t="s">
        <v>1198</v>
      </c>
      <c r="C464" s="30" t="s">
        <v>53</v>
      </c>
      <c r="D464" s="32" t="s">
        <v>6</v>
      </c>
      <c r="E464" s="8">
        <v>43</v>
      </c>
      <c r="F464" s="9">
        <v>162.93</v>
      </c>
      <c r="G464" s="30">
        <v>840</v>
      </c>
      <c r="H464" s="30" t="s">
        <v>1030</v>
      </c>
      <c r="I464" s="30"/>
      <c r="J464" s="39">
        <v>0</v>
      </c>
    </row>
    <row r="465" spans="1:10" x14ac:dyDescent="0.3">
      <c r="A465" s="5">
        <v>1001501</v>
      </c>
      <c r="B465" s="6" t="s">
        <v>911</v>
      </c>
      <c r="C465" s="7" t="s">
        <v>419</v>
      </c>
      <c r="D465" s="7" t="s">
        <v>10</v>
      </c>
      <c r="E465" s="8">
        <v>18</v>
      </c>
      <c r="F465" s="9">
        <v>128</v>
      </c>
      <c r="G465" s="10">
        <v>500</v>
      </c>
      <c r="H465" s="9" t="s">
        <v>1017</v>
      </c>
      <c r="I465" s="9"/>
      <c r="J465" s="22">
        <f>I465*E465</f>
        <v>0</v>
      </c>
    </row>
    <row r="466" spans="1:10" x14ac:dyDescent="0.3">
      <c r="A466" s="5">
        <v>1001503</v>
      </c>
      <c r="B466" s="6" t="s">
        <v>912</v>
      </c>
      <c r="C466" s="30" t="s">
        <v>419</v>
      </c>
      <c r="D466" s="32" t="s">
        <v>10</v>
      </c>
      <c r="E466" s="8">
        <v>20</v>
      </c>
      <c r="F466" s="9">
        <v>149</v>
      </c>
      <c r="G466" s="30">
        <v>500</v>
      </c>
      <c r="H466" s="9" t="s">
        <v>1017</v>
      </c>
      <c r="I466" s="9"/>
      <c r="J466" s="22">
        <f>I466*E466</f>
        <v>0</v>
      </c>
    </row>
    <row r="467" spans="1:10" x14ac:dyDescent="0.3">
      <c r="A467" s="5" t="s">
        <v>724</v>
      </c>
      <c r="B467" s="6" t="s">
        <v>725</v>
      </c>
      <c r="C467" s="7" t="s">
        <v>341</v>
      </c>
      <c r="D467" s="7" t="s">
        <v>10</v>
      </c>
      <c r="E467" s="14">
        <v>31.5</v>
      </c>
      <c r="F467" s="9">
        <v>153.13999999999999</v>
      </c>
      <c r="G467" s="10">
        <v>960</v>
      </c>
      <c r="H467" s="9" t="s">
        <v>1017</v>
      </c>
      <c r="I467" s="9"/>
      <c r="J467" s="22">
        <f>I467*E467</f>
        <v>0</v>
      </c>
    </row>
    <row r="468" spans="1:10" x14ac:dyDescent="0.3">
      <c r="A468" s="5" t="s">
        <v>726</v>
      </c>
      <c r="B468" s="6" t="s">
        <v>727</v>
      </c>
      <c r="C468" s="7" t="s">
        <v>341</v>
      </c>
      <c r="D468" s="7" t="s">
        <v>10</v>
      </c>
      <c r="E468" s="14">
        <v>31.5</v>
      </c>
      <c r="F468" s="9">
        <v>174.69</v>
      </c>
      <c r="G468" s="10">
        <v>960</v>
      </c>
      <c r="H468" s="9" t="s">
        <v>1017</v>
      </c>
      <c r="I468" s="9"/>
      <c r="J468" s="22">
        <f>I468*E468</f>
        <v>0</v>
      </c>
    </row>
    <row r="469" spans="1:10" x14ac:dyDescent="0.3">
      <c r="A469" s="5" t="s">
        <v>728</v>
      </c>
      <c r="B469" s="6" t="s">
        <v>729</v>
      </c>
      <c r="C469" s="7" t="s">
        <v>53</v>
      </c>
      <c r="D469" s="7" t="s">
        <v>10</v>
      </c>
      <c r="E469" s="14">
        <v>15</v>
      </c>
      <c r="F469" s="9">
        <v>72.66</v>
      </c>
      <c r="G469" s="10">
        <v>1200</v>
      </c>
      <c r="H469" s="9" t="s">
        <v>1017</v>
      </c>
      <c r="I469" s="9"/>
      <c r="J469" s="22">
        <f>I469*E469</f>
        <v>0</v>
      </c>
    </row>
    <row r="470" spans="1:10" x14ac:dyDescent="0.3">
      <c r="A470" s="5" t="s">
        <v>730</v>
      </c>
      <c r="B470" s="6" t="s">
        <v>731</v>
      </c>
      <c r="C470" s="7" t="s">
        <v>53</v>
      </c>
      <c r="D470" s="7" t="s">
        <v>10</v>
      </c>
      <c r="E470" s="14">
        <v>17.5</v>
      </c>
      <c r="F470" s="9">
        <v>89.84</v>
      </c>
      <c r="G470" s="10">
        <v>1200</v>
      </c>
      <c r="H470" s="9" t="s">
        <v>1017</v>
      </c>
      <c r="I470" s="9"/>
      <c r="J470" s="22">
        <f>I470*E470</f>
        <v>0</v>
      </c>
    </row>
    <row r="471" spans="1:10" x14ac:dyDescent="0.3">
      <c r="A471" s="5" t="s">
        <v>732</v>
      </c>
      <c r="B471" s="6" t="s">
        <v>733</v>
      </c>
      <c r="C471" s="7" t="s">
        <v>341</v>
      </c>
      <c r="D471" s="7" t="s">
        <v>10</v>
      </c>
      <c r="E471" s="14">
        <v>24.5</v>
      </c>
      <c r="F471" s="9">
        <v>136.12</v>
      </c>
      <c r="G471" s="10">
        <v>960</v>
      </c>
      <c r="H471" s="9" t="s">
        <v>1017</v>
      </c>
      <c r="I471" s="9"/>
      <c r="J471" s="22">
        <f>I471*E471</f>
        <v>0</v>
      </c>
    </row>
    <row r="472" spans="1:10" x14ac:dyDescent="0.3">
      <c r="A472" s="5">
        <v>1000109</v>
      </c>
      <c r="B472" s="6" t="s">
        <v>734</v>
      </c>
      <c r="C472" s="7" t="s">
        <v>53</v>
      </c>
      <c r="D472" s="7" t="s">
        <v>10</v>
      </c>
      <c r="E472" s="14">
        <v>13.5</v>
      </c>
      <c r="F472" s="9">
        <v>119.17</v>
      </c>
      <c r="G472" s="10">
        <v>1620</v>
      </c>
      <c r="H472" s="9" t="s">
        <v>1017</v>
      </c>
      <c r="I472" s="9"/>
      <c r="J472" s="22">
        <f>I472*E472</f>
        <v>0</v>
      </c>
    </row>
    <row r="473" spans="1:10" x14ac:dyDescent="0.3">
      <c r="A473" s="24">
        <v>1000111</v>
      </c>
      <c r="B473" s="25" t="s">
        <v>735</v>
      </c>
      <c r="C473" s="26" t="s">
        <v>28</v>
      </c>
      <c r="D473" s="26" t="s">
        <v>10</v>
      </c>
      <c r="E473" s="14">
        <v>24</v>
      </c>
      <c r="F473" s="28">
        <v>141.79</v>
      </c>
      <c r="G473" s="29">
        <v>400</v>
      </c>
      <c r="H473" s="28" t="s">
        <v>1017</v>
      </c>
      <c r="I473" s="28"/>
      <c r="J473" s="22">
        <f>I473*E473</f>
        <v>0</v>
      </c>
    </row>
    <row r="474" spans="1:10" x14ac:dyDescent="0.3">
      <c r="A474" s="5">
        <v>1000110</v>
      </c>
      <c r="B474" s="6" t="s">
        <v>736</v>
      </c>
      <c r="C474" s="7" t="s">
        <v>28</v>
      </c>
      <c r="D474" s="7" t="s">
        <v>10</v>
      </c>
      <c r="E474" s="14">
        <v>21.5</v>
      </c>
      <c r="F474" s="9">
        <v>143.49</v>
      </c>
      <c r="G474" s="10">
        <v>800</v>
      </c>
      <c r="H474" s="9" t="s">
        <v>1017</v>
      </c>
      <c r="I474" s="9"/>
      <c r="J474" s="22">
        <f>I474*E474</f>
        <v>0</v>
      </c>
    </row>
    <row r="475" spans="1:10" x14ac:dyDescent="0.3">
      <c r="A475" s="5" t="s">
        <v>737</v>
      </c>
      <c r="B475" s="6" t="s">
        <v>738</v>
      </c>
      <c r="C475" s="7" t="s">
        <v>19</v>
      </c>
      <c r="D475" s="7" t="s">
        <v>16</v>
      </c>
      <c r="E475" s="8">
        <v>16</v>
      </c>
      <c r="F475" s="9">
        <v>84.73</v>
      </c>
      <c r="G475" s="10">
        <v>600</v>
      </c>
      <c r="H475" s="9" t="s">
        <v>1017</v>
      </c>
      <c r="I475" s="9"/>
      <c r="J475" s="22">
        <f>I475*E475</f>
        <v>0</v>
      </c>
    </row>
    <row r="476" spans="1:10" x14ac:dyDescent="0.3">
      <c r="A476" s="5" t="s">
        <v>739</v>
      </c>
      <c r="B476" s="6" t="s">
        <v>740</v>
      </c>
      <c r="C476" s="7" t="s">
        <v>741</v>
      </c>
      <c r="D476" s="7" t="s">
        <v>6</v>
      </c>
      <c r="E476" s="8">
        <v>30</v>
      </c>
      <c r="F476" s="9">
        <v>184.5</v>
      </c>
      <c r="G476" s="10">
        <v>630</v>
      </c>
      <c r="H476" s="9" t="s">
        <v>1017</v>
      </c>
      <c r="I476" s="9"/>
      <c r="J476" s="22">
        <f>I476*E476</f>
        <v>0</v>
      </c>
    </row>
    <row r="477" spans="1:10" x14ac:dyDescent="0.3">
      <c r="A477" s="5" t="s">
        <v>742</v>
      </c>
      <c r="B477" s="6" t="s">
        <v>743</v>
      </c>
      <c r="C477" s="7" t="s">
        <v>741</v>
      </c>
      <c r="D477" s="7" t="s">
        <v>6</v>
      </c>
      <c r="E477" s="8">
        <v>52</v>
      </c>
      <c r="F477" s="9">
        <v>249.56</v>
      </c>
      <c r="G477" s="10">
        <v>480</v>
      </c>
      <c r="H477" s="9" t="s">
        <v>1017</v>
      </c>
      <c r="I477" s="9"/>
      <c r="J477" s="22">
        <f>I477*E477</f>
        <v>0</v>
      </c>
    </row>
    <row r="478" spans="1:10" ht="25.2" x14ac:dyDescent="0.3">
      <c r="A478" s="35">
        <v>1000546</v>
      </c>
      <c r="B478" s="34" t="s">
        <v>995</v>
      </c>
      <c r="C478" s="35" t="s">
        <v>996</v>
      </c>
      <c r="D478" s="36" t="s">
        <v>997</v>
      </c>
      <c r="E478" s="37">
        <v>42.5</v>
      </c>
      <c r="F478" s="38">
        <v>140.70000000000002</v>
      </c>
      <c r="G478" s="35">
        <v>200</v>
      </c>
      <c r="H478" s="35" t="s">
        <v>1017</v>
      </c>
      <c r="I478" s="35"/>
      <c r="J478" s="22">
        <f>I478*E478</f>
        <v>0</v>
      </c>
    </row>
    <row r="479" spans="1:10" ht="25.2" x14ac:dyDescent="0.3">
      <c r="A479" s="35">
        <v>1000543</v>
      </c>
      <c r="B479" s="34" t="s">
        <v>998</v>
      </c>
      <c r="C479" s="35" t="s">
        <v>996</v>
      </c>
      <c r="D479" s="36" t="s">
        <v>997</v>
      </c>
      <c r="E479" s="37">
        <v>42.5</v>
      </c>
      <c r="F479" s="38">
        <v>155.39999999999998</v>
      </c>
      <c r="G479" s="35">
        <v>200</v>
      </c>
      <c r="H479" s="35" t="s">
        <v>1017</v>
      </c>
      <c r="I479" s="35"/>
      <c r="J479" s="22">
        <f>I479*E479</f>
        <v>0</v>
      </c>
    </row>
    <row r="480" spans="1:10" ht="25.2" x14ac:dyDescent="0.3">
      <c r="A480" s="16">
        <v>1000544</v>
      </c>
      <c r="B480" s="15" t="s">
        <v>999</v>
      </c>
      <c r="C480" s="16" t="s">
        <v>996</v>
      </c>
      <c r="D480" s="17" t="s">
        <v>997</v>
      </c>
      <c r="E480" s="18">
        <v>37.5</v>
      </c>
      <c r="F480" s="19">
        <v>110.24999999999999</v>
      </c>
      <c r="G480" s="16">
        <v>200</v>
      </c>
      <c r="H480" s="16" t="s">
        <v>1017</v>
      </c>
      <c r="I480" s="16"/>
      <c r="J480" s="22">
        <f>I480*E480</f>
        <v>0</v>
      </c>
    </row>
    <row r="481" spans="1:10" ht="25.2" x14ac:dyDescent="0.3">
      <c r="A481" s="35">
        <v>1000545</v>
      </c>
      <c r="B481" s="34" t="s">
        <v>1000</v>
      </c>
      <c r="C481" s="35" t="s">
        <v>996</v>
      </c>
      <c r="D481" s="36" t="s">
        <v>997</v>
      </c>
      <c r="E481" s="37">
        <v>40.9</v>
      </c>
      <c r="F481" s="38">
        <v>154.34999999999997</v>
      </c>
      <c r="G481" s="35">
        <v>200</v>
      </c>
      <c r="H481" s="35" t="s">
        <v>1017</v>
      </c>
      <c r="I481" s="35"/>
      <c r="J481" s="22">
        <f>I481*E481</f>
        <v>0</v>
      </c>
    </row>
    <row r="482" spans="1:10" x14ac:dyDescent="0.3">
      <c r="A482" s="24" t="s">
        <v>929</v>
      </c>
      <c r="B482" s="25" t="s">
        <v>930</v>
      </c>
      <c r="C482" s="30" t="s">
        <v>208</v>
      </c>
      <c r="D482" s="32" t="s">
        <v>6</v>
      </c>
      <c r="E482" s="27">
        <v>16.5</v>
      </c>
      <c r="F482" s="28">
        <v>165</v>
      </c>
      <c r="G482" s="30">
        <v>1200</v>
      </c>
      <c r="H482" s="28" t="s">
        <v>1017</v>
      </c>
      <c r="I482" s="28"/>
      <c r="J482" s="22">
        <f>I482*E482</f>
        <v>0</v>
      </c>
    </row>
    <row r="483" spans="1:10" x14ac:dyDescent="0.3">
      <c r="A483" s="24" t="s">
        <v>744</v>
      </c>
      <c r="B483" s="25" t="s">
        <v>745</v>
      </c>
      <c r="C483" s="26" t="s">
        <v>53</v>
      </c>
      <c r="D483" s="26" t="s">
        <v>6</v>
      </c>
      <c r="E483" s="27">
        <v>22.5</v>
      </c>
      <c r="F483" s="28">
        <v>90.75</v>
      </c>
      <c r="G483" s="29">
        <v>720</v>
      </c>
      <c r="H483" s="28" t="s">
        <v>1017</v>
      </c>
      <c r="I483" s="28"/>
      <c r="J483" s="22">
        <f>I483*E483</f>
        <v>0</v>
      </c>
    </row>
    <row r="484" spans="1:10" x14ac:dyDescent="0.3">
      <c r="A484" s="24" t="s">
        <v>746</v>
      </c>
      <c r="B484" s="25" t="s">
        <v>747</v>
      </c>
      <c r="C484" s="26" t="s">
        <v>53</v>
      </c>
      <c r="D484" s="26" t="s">
        <v>10</v>
      </c>
      <c r="E484" s="27">
        <v>26</v>
      </c>
      <c r="F484" s="28">
        <v>147.22999999999999</v>
      </c>
      <c r="G484" s="29">
        <v>1200</v>
      </c>
      <c r="H484" s="28" t="s">
        <v>1017</v>
      </c>
      <c r="I484" s="28"/>
      <c r="J484" s="22">
        <f>I484*E484</f>
        <v>0</v>
      </c>
    </row>
    <row r="485" spans="1:10" x14ac:dyDescent="0.3">
      <c r="A485" s="24" t="s">
        <v>748</v>
      </c>
      <c r="B485" s="25" t="s">
        <v>749</v>
      </c>
      <c r="C485" s="26" t="s">
        <v>53</v>
      </c>
      <c r="D485" s="26" t="s">
        <v>10</v>
      </c>
      <c r="E485" s="27">
        <v>17.5</v>
      </c>
      <c r="F485" s="28">
        <v>92.33</v>
      </c>
      <c r="G485" s="29">
        <v>1200</v>
      </c>
      <c r="H485" s="28" t="s">
        <v>1017</v>
      </c>
      <c r="I485" s="28"/>
      <c r="J485" s="22">
        <f>I485*E485</f>
        <v>0</v>
      </c>
    </row>
    <row r="486" spans="1:10" x14ac:dyDescent="0.3">
      <c r="A486" s="24" t="s">
        <v>750</v>
      </c>
      <c r="B486" s="25" t="s">
        <v>751</v>
      </c>
      <c r="C486" s="26" t="s">
        <v>53</v>
      </c>
      <c r="D486" s="26" t="s">
        <v>6</v>
      </c>
      <c r="E486" s="27">
        <v>19.5</v>
      </c>
      <c r="F486" s="28">
        <v>107.76</v>
      </c>
      <c r="G486" s="29">
        <v>1000</v>
      </c>
      <c r="H486" s="28" t="s">
        <v>1017</v>
      </c>
      <c r="I486" s="28"/>
      <c r="J486" s="22">
        <f>I486*E486</f>
        <v>0</v>
      </c>
    </row>
    <row r="487" spans="1:10" x14ac:dyDescent="0.3">
      <c r="A487" s="24" t="s">
        <v>752</v>
      </c>
      <c r="B487" s="25" t="s">
        <v>753</v>
      </c>
      <c r="C487" s="26" t="s">
        <v>56</v>
      </c>
      <c r="D487" s="26" t="s">
        <v>10</v>
      </c>
      <c r="E487" s="27">
        <v>68</v>
      </c>
      <c r="F487" s="28">
        <v>243.31</v>
      </c>
      <c r="G487" s="29">
        <v>600</v>
      </c>
      <c r="H487" s="28" t="s">
        <v>1017</v>
      </c>
      <c r="I487" s="28"/>
      <c r="J487" s="22">
        <f>I487*E487</f>
        <v>0</v>
      </c>
    </row>
    <row r="488" spans="1:10" x14ac:dyDescent="0.3">
      <c r="A488" s="24" t="s">
        <v>754</v>
      </c>
      <c r="B488" s="25" t="s">
        <v>755</v>
      </c>
      <c r="C488" s="26" t="s">
        <v>56</v>
      </c>
      <c r="D488" s="26" t="s">
        <v>10</v>
      </c>
      <c r="E488" s="27">
        <v>82</v>
      </c>
      <c r="F488" s="28">
        <v>391.87</v>
      </c>
      <c r="G488" s="29">
        <v>480</v>
      </c>
      <c r="H488" s="28" t="s">
        <v>1017</v>
      </c>
      <c r="I488" s="28"/>
      <c r="J488" s="22">
        <f>I488*E488</f>
        <v>0</v>
      </c>
    </row>
    <row r="489" spans="1:10" x14ac:dyDescent="0.3">
      <c r="A489" s="24" t="s">
        <v>756</v>
      </c>
      <c r="B489" s="25" t="s">
        <v>757</v>
      </c>
      <c r="C489" s="26" t="s">
        <v>428</v>
      </c>
      <c r="D489" s="26" t="s">
        <v>6</v>
      </c>
      <c r="E489" s="27">
        <v>9</v>
      </c>
      <c r="F489" s="28">
        <v>79.41</v>
      </c>
      <c r="G489" s="29">
        <v>2400</v>
      </c>
      <c r="H489" s="28" t="s">
        <v>1017</v>
      </c>
      <c r="I489" s="28"/>
      <c r="J489" s="22">
        <f>I489*E489</f>
        <v>0</v>
      </c>
    </row>
    <row r="490" spans="1:10" x14ac:dyDescent="0.3">
      <c r="A490" s="24" t="s">
        <v>758</v>
      </c>
      <c r="B490" s="25" t="s">
        <v>759</v>
      </c>
      <c r="C490" s="26" t="s">
        <v>428</v>
      </c>
      <c r="D490" s="26" t="s">
        <v>6</v>
      </c>
      <c r="E490" s="27">
        <v>13</v>
      </c>
      <c r="F490" s="28">
        <v>136.1</v>
      </c>
      <c r="G490" s="29">
        <v>2400</v>
      </c>
      <c r="H490" s="28" t="s">
        <v>1017</v>
      </c>
      <c r="I490" s="28"/>
      <c r="J490" s="22">
        <f>I490*E490</f>
        <v>0</v>
      </c>
    </row>
    <row r="491" spans="1:10" x14ac:dyDescent="0.3">
      <c r="A491" s="24" t="s">
        <v>760</v>
      </c>
      <c r="B491" s="25" t="s">
        <v>761</v>
      </c>
      <c r="C491" s="26" t="s">
        <v>203</v>
      </c>
      <c r="D491" s="26" t="s">
        <v>6</v>
      </c>
      <c r="E491" s="27">
        <v>48</v>
      </c>
      <c r="F491" s="28">
        <v>146.4</v>
      </c>
      <c r="G491" s="29">
        <v>800</v>
      </c>
      <c r="H491" s="28" t="s">
        <v>1017</v>
      </c>
      <c r="I491" s="28"/>
      <c r="J491" s="22">
        <f>I491*E491</f>
        <v>0</v>
      </c>
    </row>
    <row r="492" spans="1:10" x14ac:dyDescent="0.3">
      <c r="A492" s="24">
        <v>1001288</v>
      </c>
      <c r="B492" s="25" t="s">
        <v>762</v>
      </c>
      <c r="C492" s="26" t="s">
        <v>723</v>
      </c>
      <c r="D492" s="26" t="s">
        <v>129</v>
      </c>
      <c r="E492" s="27">
        <v>18</v>
      </c>
      <c r="F492" s="28">
        <v>73.680000000000007</v>
      </c>
      <c r="G492" s="29">
        <v>200</v>
      </c>
      <c r="H492" s="28" t="s">
        <v>1017</v>
      </c>
      <c r="I492" s="28"/>
      <c r="J492" s="22">
        <f>I492*E492</f>
        <v>0</v>
      </c>
    </row>
    <row r="493" spans="1:10" x14ac:dyDescent="0.3">
      <c r="A493" s="24">
        <v>1001287</v>
      </c>
      <c r="B493" s="25" t="s">
        <v>763</v>
      </c>
      <c r="C493" s="26" t="s">
        <v>723</v>
      </c>
      <c r="D493" s="26" t="s">
        <v>129</v>
      </c>
      <c r="E493" s="27">
        <v>16</v>
      </c>
      <c r="F493" s="28">
        <v>61.21</v>
      </c>
      <c r="G493" s="29">
        <v>200</v>
      </c>
      <c r="H493" s="28" t="s">
        <v>1017</v>
      </c>
      <c r="I493" s="28"/>
      <c r="J493" s="22">
        <f>I493*E493</f>
        <v>0</v>
      </c>
    </row>
    <row r="494" spans="1:10" ht="37.799999999999997" x14ac:dyDescent="0.3">
      <c r="A494" s="24" t="s">
        <v>764</v>
      </c>
      <c r="B494" s="25" t="s">
        <v>765</v>
      </c>
      <c r="C494" s="26" t="s">
        <v>247</v>
      </c>
      <c r="D494" s="26" t="s">
        <v>42</v>
      </c>
      <c r="E494" s="27">
        <v>14</v>
      </c>
      <c r="F494" s="28">
        <v>42.21</v>
      </c>
      <c r="G494" s="29">
        <v>200</v>
      </c>
      <c r="H494" s="28" t="s">
        <v>1017</v>
      </c>
      <c r="I494" s="28"/>
      <c r="J494" s="22">
        <f>I494*E494</f>
        <v>0</v>
      </c>
    </row>
    <row r="495" spans="1:10" x14ac:dyDescent="0.3">
      <c r="A495" s="24" t="s">
        <v>766</v>
      </c>
      <c r="B495" s="25" t="s">
        <v>767</v>
      </c>
      <c r="C495" s="26" t="s">
        <v>768</v>
      </c>
      <c r="D495" s="26" t="s">
        <v>6</v>
      </c>
      <c r="E495" s="27">
        <v>4.5</v>
      </c>
      <c r="F495" s="28">
        <v>30.24</v>
      </c>
      <c r="G495" s="29">
        <v>2000</v>
      </c>
      <c r="H495" s="28" t="s">
        <v>1017</v>
      </c>
      <c r="I495" s="28"/>
      <c r="J495" s="22">
        <f>I495*E495</f>
        <v>0</v>
      </c>
    </row>
    <row r="496" spans="1:10" x14ac:dyDescent="0.3">
      <c r="A496" s="24">
        <v>1001306</v>
      </c>
      <c r="B496" s="25" t="s">
        <v>769</v>
      </c>
      <c r="C496" s="26" t="s">
        <v>770</v>
      </c>
      <c r="D496" s="26" t="s">
        <v>416</v>
      </c>
      <c r="E496" s="27">
        <v>9</v>
      </c>
      <c r="F496" s="28">
        <v>54.37</v>
      </c>
      <c r="G496" s="29">
        <v>750</v>
      </c>
      <c r="H496" s="28" t="s">
        <v>1017</v>
      </c>
      <c r="I496" s="28"/>
      <c r="J496" s="22">
        <f>I496*E496</f>
        <v>0</v>
      </c>
    </row>
    <row r="497" spans="1:10" x14ac:dyDescent="0.3">
      <c r="A497" s="24">
        <v>1000423</v>
      </c>
      <c r="B497" s="25" t="s">
        <v>1199</v>
      </c>
      <c r="C497" s="30" t="s">
        <v>100</v>
      </c>
      <c r="D497" s="32" t="s">
        <v>129</v>
      </c>
      <c r="E497" s="27">
        <v>17.5</v>
      </c>
      <c r="F497" s="28">
        <v>128.49</v>
      </c>
      <c r="G497" s="30">
        <v>150</v>
      </c>
      <c r="H497" s="30" t="s">
        <v>1030</v>
      </c>
      <c r="I497" s="30"/>
      <c r="J497" s="39">
        <v>0</v>
      </c>
    </row>
    <row r="498" spans="1:10" x14ac:dyDescent="0.3">
      <c r="A498" s="24">
        <v>1001367</v>
      </c>
      <c r="B498" s="25" t="s">
        <v>771</v>
      </c>
      <c r="C498" s="26" t="s">
        <v>772</v>
      </c>
      <c r="D498" s="24" t="s">
        <v>773</v>
      </c>
      <c r="E498" s="27">
        <v>17.5</v>
      </c>
      <c r="F498" s="28">
        <v>37.5</v>
      </c>
      <c r="G498" s="29">
        <v>420</v>
      </c>
      <c r="H498" s="28" t="s">
        <v>1017</v>
      </c>
      <c r="I498" s="28"/>
      <c r="J498" s="22">
        <f>I498*E498</f>
        <v>0</v>
      </c>
    </row>
    <row r="499" spans="1:10" ht="37.799999999999997" x14ac:dyDescent="0.3">
      <c r="A499" s="24" t="s">
        <v>774</v>
      </c>
      <c r="B499" s="25" t="s">
        <v>775</v>
      </c>
      <c r="C499" s="26" t="s">
        <v>100</v>
      </c>
      <c r="D499" s="26" t="s">
        <v>42</v>
      </c>
      <c r="E499" s="27">
        <v>30</v>
      </c>
      <c r="F499" s="28">
        <v>123.5</v>
      </c>
      <c r="G499" s="29">
        <v>150</v>
      </c>
      <c r="H499" s="28" t="s">
        <v>1017</v>
      </c>
      <c r="I499" s="28"/>
      <c r="J499" s="22">
        <f>I499*E499</f>
        <v>0</v>
      </c>
    </row>
    <row r="500" spans="1:10" ht="37.799999999999997" x14ac:dyDescent="0.3">
      <c r="A500" s="24" t="s">
        <v>776</v>
      </c>
      <c r="B500" s="25" t="s">
        <v>777</v>
      </c>
      <c r="C500" s="26" t="s">
        <v>247</v>
      </c>
      <c r="D500" s="26" t="s">
        <v>42</v>
      </c>
      <c r="E500" s="27">
        <v>20.5</v>
      </c>
      <c r="F500" s="28">
        <v>81.650000000000006</v>
      </c>
      <c r="G500" s="29">
        <v>200</v>
      </c>
      <c r="H500" s="28" t="s">
        <v>1017</v>
      </c>
      <c r="I500" s="28"/>
      <c r="J500" s="22">
        <f>I500*E500</f>
        <v>0</v>
      </c>
    </row>
    <row r="501" spans="1:10" x14ac:dyDescent="0.3">
      <c r="A501" s="24" t="s">
        <v>778</v>
      </c>
      <c r="B501" s="25" t="s">
        <v>779</v>
      </c>
      <c r="C501" s="26" t="s">
        <v>53</v>
      </c>
      <c r="D501" s="26" t="s">
        <v>10</v>
      </c>
      <c r="E501" s="27">
        <v>16</v>
      </c>
      <c r="F501" s="28">
        <v>67.03</v>
      </c>
      <c r="G501" s="29">
        <v>800</v>
      </c>
      <c r="H501" s="28" t="s">
        <v>1017</v>
      </c>
      <c r="I501" s="28"/>
      <c r="J501" s="22">
        <f>I501*E501</f>
        <v>0</v>
      </c>
    </row>
    <row r="502" spans="1:10" ht="37.799999999999997" x14ac:dyDescent="0.3">
      <c r="A502" s="24">
        <v>1000152</v>
      </c>
      <c r="B502" s="25" t="s">
        <v>1200</v>
      </c>
      <c r="C502" s="26" t="s">
        <v>1201</v>
      </c>
      <c r="D502" s="26" t="s">
        <v>42</v>
      </c>
      <c r="E502" s="27">
        <v>43</v>
      </c>
      <c r="F502" s="28">
        <v>154.68</v>
      </c>
      <c r="G502" s="29">
        <v>150</v>
      </c>
      <c r="H502" s="30" t="s">
        <v>1030</v>
      </c>
      <c r="I502" s="30"/>
      <c r="J502" s="39">
        <v>0</v>
      </c>
    </row>
    <row r="503" spans="1:10" ht="25.2" x14ac:dyDescent="0.3">
      <c r="A503" s="24" t="s">
        <v>916</v>
      </c>
      <c r="B503" s="25" t="s">
        <v>917</v>
      </c>
      <c r="C503" s="30" t="s">
        <v>79</v>
      </c>
      <c r="D503" s="32" t="s">
        <v>918</v>
      </c>
      <c r="E503" s="27">
        <v>90</v>
      </c>
      <c r="F503" s="28">
        <v>320</v>
      </c>
      <c r="G503" s="30">
        <v>150</v>
      </c>
      <c r="H503" s="28" t="s">
        <v>1017</v>
      </c>
      <c r="I503" s="28"/>
      <c r="J503" s="22">
        <f>I503*E503</f>
        <v>0</v>
      </c>
    </row>
    <row r="504" spans="1:10" x14ac:dyDescent="0.3">
      <c r="A504" s="24" t="s">
        <v>780</v>
      </c>
      <c r="B504" s="25" t="s">
        <v>781</v>
      </c>
      <c r="C504" s="26" t="s">
        <v>56</v>
      </c>
      <c r="D504" s="26" t="s">
        <v>6</v>
      </c>
      <c r="E504" s="27">
        <v>48</v>
      </c>
      <c r="F504" s="28">
        <v>206.8</v>
      </c>
      <c r="G504" s="29">
        <v>720</v>
      </c>
      <c r="H504" s="28" t="s">
        <v>1017</v>
      </c>
      <c r="I504" s="28"/>
      <c r="J504" s="22">
        <f>I504*E504</f>
        <v>0</v>
      </c>
    </row>
    <row r="505" spans="1:10" x14ac:dyDescent="0.3">
      <c r="A505" s="24" t="s">
        <v>782</v>
      </c>
      <c r="B505" s="25" t="s">
        <v>783</v>
      </c>
      <c r="C505" s="26" t="s">
        <v>56</v>
      </c>
      <c r="D505" s="26" t="s">
        <v>10</v>
      </c>
      <c r="E505" s="27">
        <v>85</v>
      </c>
      <c r="F505" s="28">
        <v>435.6</v>
      </c>
      <c r="G505" s="29">
        <v>480</v>
      </c>
      <c r="H505" s="28" t="s">
        <v>1017</v>
      </c>
      <c r="I505" s="28"/>
      <c r="J505" s="22">
        <f>I505*E505</f>
        <v>0</v>
      </c>
    </row>
    <row r="506" spans="1:10" ht="25.2" x14ac:dyDescent="0.3">
      <c r="A506" s="24" t="s">
        <v>784</v>
      </c>
      <c r="B506" s="25" t="s">
        <v>785</v>
      </c>
      <c r="C506" s="26" t="s">
        <v>170</v>
      </c>
      <c r="D506" s="26" t="s">
        <v>786</v>
      </c>
      <c r="E506" s="27">
        <v>82</v>
      </c>
      <c r="F506" s="28">
        <v>243.75</v>
      </c>
      <c r="G506" s="29">
        <v>120</v>
      </c>
      <c r="H506" s="28" t="s">
        <v>1017</v>
      </c>
      <c r="I506" s="28"/>
      <c r="J506" s="22">
        <f>I506*E506</f>
        <v>0</v>
      </c>
    </row>
    <row r="507" spans="1:10" x14ac:dyDescent="0.3">
      <c r="A507" s="24">
        <v>1000883</v>
      </c>
      <c r="B507" s="25" t="s">
        <v>787</v>
      </c>
      <c r="C507" s="26" t="s">
        <v>788</v>
      </c>
      <c r="D507" s="26" t="s">
        <v>6</v>
      </c>
      <c r="E507" s="27">
        <v>30</v>
      </c>
      <c r="F507" s="28">
        <v>228</v>
      </c>
      <c r="G507" s="29">
        <v>840</v>
      </c>
      <c r="H507" s="28" t="s">
        <v>1017</v>
      </c>
      <c r="I507" s="28"/>
      <c r="J507" s="22">
        <f>I507*E507</f>
        <v>0</v>
      </c>
    </row>
    <row r="508" spans="1:10" x14ac:dyDescent="0.3">
      <c r="A508" s="24" t="s">
        <v>789</v>
      </c>
      <c r="B508" s="25" t="s">
        <v>790</v>
      </c>
      <c r="C508" s="26" t="s">
        <v>111</v>
      </c>
      <c r="D508" s="26" t="s">
        <v>6</v>
      </c>
      <c r="E508" s="27">
        <v>32</v>
      </c>
      <c r="F508" s="28">
        <v>385.6</v>
      </c>
      <c r="G508" s="29">
        <v>540</v>
      </c>
      <c r="H508" s="28" t="s">
        <v>1017</v>
      </c>
      <c r="I508" s="28"/>
      <c r="J508" s="22">
        <f>I508*E508</f>
        <v>0</v>
      </c>
    </row>
    <row r="509" spans="1:10" x14ac:dyDescent="0.3">
      <c r="A509" s="30" t="s">
        <v>1202</v>
      </c>
      <c r="B509" s="31" t="s">
        <v>1203</v>
      </c>
      <c r="C509" s="30" t="s">
        <v>53</v>
      </c>
      <c r="D509" s="32" t="s">
        <v>6</v>
      </c>
      <c r="E509" s="27">
        <v>19.5</v>
      </c>
      <c r="F509" s="28">
        <v>60.51</v>
      </c>
      <c r="G509" s="30">
        <v>1080</v>
      </c>
      <c r="H509" s="30" t="s">
        <v>1030</v>
      </c>
      <c r="I509" s="30"/>
      <c r="J509" s="39">
        <v>0</v>
      </c>
    </row>
    <row r="510" spans="1:10" x14ac:dyDescent="0.3">
      <c r="A510" s="24" t="s">
        <v>1204</v>
      </c>
      <c r="B510" s="25" t="s">
        <v>1205</v>
      </c>
      <c r="C510" s="30" t="s">
        <v>1206</v>
      </c>
      <c r="D510" s="32" t="s">
        <v>6</v>
      </c>
      <c r="E510" s="27">
        <v>18</v>
      </c>
      <c r="F510" s="28">
        <v>99.8</v>
      </c>
      <c r="G510" s="30">
        <v>960</v>
      </c>
      <c r="H510" s="30" t="s">
        <v>1030</v>
      </c>
      <c r="I510" s="30"/>
      <c r="J510" s="39">
        <v>0</v>
      </c>
    </row>
    <row r="511" spans="1:10" x14ac:dyDescent="0.3">
      <c r="A511" s="24" t="s">
        <v>1207</v>
      </c>
      <c r="B511" s="25" t="s">
        <v>1208</v>
      </c>
      <c r="C511" s="30" t="s">
        <v>1209</v>
      </c>
      <c r="D511" s="32" t="s">
        <v>6</v>
      </c>
      <c r="E511" s="27">
        <v>28</v>
      </c>
      <c r="F511" s="28">
        <v>109.8</v>
      </c>
      <c r="G511" s="30">
        <v>480</v>
      </c>
      <c r="H511" s="30" t="s">
        <v>1030</v>
      </c>
      <c r="I511" s="30"/>
      <c r="J511" s="39">
        <v>0</v>
      </c>
    </row>
    <row r="512" spans="1:10" x14ac:dyDescent="0.3">
      <c r="A512" s="24" t="s">
        <v>791</v>
      </c>
      <c r="B512" s="25" t="s">
        <v>792</v>
      </c>
      <c r="C512" s="26" t="s">
        <v>341</v>
      </c>
      <c r="D512" s="26" t="s">
        <v>6</v>
      </c>
      <c r="E512" s="27">
        <v>58</v>
      </c>
      <c r="F512" s="28">
        <v>286.87</v>
      </c>
      <c r="G512" s="29">
        <v>1050</v>
      </c>
      <c r="H512" s="28" t="s">
        <v>1017</v>
      </c>
      <c r="I512" s="28"/>
      <c r="J512" s="22">
        <f>I512*E512</f>
        <v>0</v>
      </c>
    </row>
    <row r="513" spans="1:10" ht="25.2" x14ac:dyDescent="0.3">
      <c r="A513" s="26" t="s">
        <v>1210</v>
      </c>
      <c r="B513" s="31" t="s">
        <v>1211</v>
      </c>
      <c r="C513" s="30" t="s">
        <v>50</v>
      </c>
      <c r="D513" s="32" t="s">
        <v>969</v>
      </c>
      <c r="E513" s="27">
        <v>38.5</v>
      </c>
      <c r="F513" s="28">
        <v>139.68</v>
      </c>
      <c r="G513" s="30">
        <v>160</v>
      </c>
      <c r="H513" s="30" t="s">
        <v>1030</v>
      </c>
      <c r="I513" s="30"/>
      <c r="J513" s="39">
        <v>0</v>
      </c>
    </row>
    <row r="514" spans="1:10" x14ac:dyDescent="0.3">
      <c r="A514" s="24" t="s">
        <v>1212</v>
      </c>
      <c r="B514" s="25" t="s">
        <v>1213</v>
      </c>
      <c r="C514" s="26" t="s">
        <v>723</v>
      </c>
      <c r="D514" s="26" t="s">
        <v>1214</v>
      </c>
      <c r="E514" s="27">
        <v>16</v>
      </c>
      <c r="F514" s="28">
        <v>66.150000000000006</v>
      </c>
      <c r="G514" s="29">
        <v>320</v>
      </c>
      <c r="H514" s="30" t="s">
        <v>1030</v>
      </c>
      <c r="I514" s="30"/>
      <c r="J514" s="39">
        <v>0</v>
      </c>
    </row>
    <row r="515" spans="1:10" x14ac:dyDescent="0.3">
      <c r="A515" s="24" t="s">
        <v>1215</v>
      </c>
      <c r="B515" s="25" t="s">
        <v>1216</v>
      </c>
      <c r="C515" s="30" t="s">
        <v>723</v>
      </c>
      <c r="D515" s="32" t="s">
        <v>1214</v>
      </c>
      <c r="E515" s="27">
        <v>21.5</v>
      </c>
      <c r="F515" s="28">
        <v>100.8</v>
      </c>
      <c r="G515" s="30">
        <v>320</v>
      </c>
      <c r="H515" s="30" t="s">
        <v>1030</v>
      </c>
      <c r="I515" s="30"/>
      <c r="J515" s="39">
        <v>0</v>
      </c>
    </row>
    <row r="516" spans="1:10" x14ac:dyDescent="0.3">
      <c r="A516" s="24">
        <v>1000303</v>
      </c>
      <c r="B516" s="25" t="s">
        <v>1217</v>
      </c>
      <c r="C516" s="30" t="s">
        <v>53</v>
      </c>
      <c r="D516" s="32" t="s">
        <v>25</v>
      </c>
      <c r="E516" s="27">
        <v>17.5</v>
      </c>
      <c r="F516" s="28">
        <v>47.4</v>
      </c>
      <c r="G516" s="30">
        <v>1620</v>
      </c>
      <c r="H516" s="30" t="s">
        <v>1030</v>
      </c>
      <c r="I516" s="30"/>
      <c r="J516" s="39">
        <v>0</v>
      </c>
    </row>
    <row r="517" spans="1:10" x14ac:dyDescent="0.3">
      <c r="A517" s="24" t="s">
        <v>1218</v>
      </c>
      <c r="B517" s="25" t="s">
        <v>1219</v>
      </c>
      <c r="C517" s="30" t="s">
        <v>208</v>
      </c>
      <c r="D517" s="32" t="s">
        <v>6</v>
      </c>
      <c r="E517" s="27">
        <v>23.5</v>
      </c>
      <c r="F517" s="28">
        <v>96.37</v>
      </c>
      <c r="G517" s="30">
        <v>1200</v>
      </c>
      <c r="H517" s="30" t="s">
        <v>1030</v>
      </c>
      <c r="I517" s="30"/>
      <c r="J517" s="39">
        <v>0</v>
      </c>
    </row>
    <row r="518" spans="1:10" x14ac:dyDescent="0.3">
      <c r="A518" s="24">
        <v>1001539</v>
      </c>
      <c r="B518" s="25" t="s">
        <v>1220</v>
      </c>
      <c r="C518" s="26" t="s">
        <v>923</v>
      </c>
      <c r="D518" s="26" t="s">
        <v>220</v>
      </c>
      <c r="E518" s="27">
        <v>8</v>
      </c>
      <c r="F518" s="28">
        <v>55</v>
      </c>
      <c r="G518" s="29">
        <v>1000</v>
      </c>
      <c r="H518" s="30" t="s">
        <v>1030</v>
      </c>
      <c r="I518" s="30"/>
      <c r="J518" s="39">
        <v>0</v>
      </c>
    </row>
    <row r="519" spans="1:10" x14ac:dyDescent="0.3">
      <c r="A519" s="24" t="s">
        <v>1221</v>
      </c>
      <c r="B519" s="25" t="s">
        <v>1222</v>
      </c>
      <c r="C519" s="30" t="s">
        <v>1223</v>
      </c>
      <c r="D519" s="32" t="s">
        <v>6</v>
      </c>
      <c r="E519" s="27">
        <v>16</v>
      </c>
      <c r="F519" s="28">
        <v>39</v>
      </c>
      <c r="G519" s="30">
        <v>1500</v>
      </c>
      <c r="H519" s="30" t="s">
        <v>1030</v>
      </c>
      <c r="I519" s="30"/>
      <c r="J519" s="39">
        <v>0</v>
      </c>
    </row>
    <row r="520" spans="1:10" x14ac:dyDescent="0.3">
      <c r="A520" s="26" t="s">
        <v>1224</v>
      </c>
      <c r="B520" s="25" t="s">
        <v>1225</v>
      </c>
      <c r="C520" s="30" t="s">
        <v>508</v>
      </c>
      <c r="D520" s="32" t="s">
        <v>6</v>
      </c>
      <c r="E520" s="27">
        <v>10.5</v>
      </c>
      <c r="F520" s="28">
        <v>26.25</v>
      </c>
      <c r="G520" s="30">
        <v>1800</v>
      </c>
      <c r="H520" s="30" t="s">
        <v>1030</v>
      </c>
      <c r="I520" s="30"/>
      <c r="J520" s="39">
        <v>0</v>
      </c>
    </row>
    <row r="521" spans="1:10" x14ac:dyDescent="0.3">
      <c r="A521" s="26" t="s">
        <v>1226</v>
      </c>
      <c r="B521" s="25" t="s">
        <v>1227</v>
      </c>
      <c r="C521" s="30" t="s">
        <v>508</v>
      </c>
      <c r="D521" s="32" t="s">
        <v>6</v>
      </c>
      <c r="E521" s="27">
        <v>10.5</v>
      </c>
      <c r="F521" s="28">
        <v>26.25</v>
      </c>
      <c r="G521" s="30">
        <v>1800</v>
      </c>
      <c r="H521" s="30" t="s">
        <v>1030</v>
      </c>
      <c r="I521" s="30"/>
      <c r="J521" s="39">
        <v>0</v>
      </c>
    </row>
    <row r="522" spans="1:10" x14ac:dyDescent="0.3">
      <c r="A522" s="24" t="s">
        <v>1228</v>
      </c>
      <c r="B522" s="25" t="s">
        <v>1229</v>
      </c>
      <c r="C522" s="26" t="s">
        <v>24</v>
      </c>
      <c r="D522" s="26" t="s">
        <v>1230</v>
      </c>
      <c r="E522" s="27">
        <v>14</v>
      </c>
      <c r="F522" s="28">
        <v>126.56</v>
      </c>
      <c r="G522" s="29">
        <v>720</v>
      </c>
      <c r="H522" s="30" t="s">
        <v>1030</v>
      </c>
      <c r="I522" s="30"/>
      <c r="J522" s="39">
        <v>0</v>
      </c>
    </row>
    <row r="523" spans="1:10" x14ac:dyDescent="0.3">
      <c r="A523" s="24" t="s">
        <v>1231</v>
      </c>
      <c r="B523" s="25" t="s">
        <v>1232</v>
      </c>
      <c r="C523" s="30" t="s">
        <v>194</v>
      </c>
      <c r="D523" s="32" t="s">
        <v>6</v>
      </c>
      <c r="E523" s="27">
        <v>29</v>
      </c>
      <c r="F523" s="28">
        <v>117.96</v>
      </c>
      <c r="G523" s="30">
        <v>1000</v>
      </c>
      <c r="H523" s="30" t="s">
        <v>1030</v>
      </c>
      <c r="I523" s="30"/>
      <c r="J523" s="39">
        <v>0</v>
      </c>
    </row>
    <row r="524" spans="1:10" x14ac:dyDescent="0.3">
      <c r="A524" s="26" t="s">
        <v>1233</v>
      </c>
      <c r="B524" s="25" t="s">
        <v>1234</v>
      </c>
      <c r="C524" s="30" t="s">
        <v>208</v>
      </c>
      <c r="D524" s="32" t="s">
        <v>6</v>
      </c>
      <c r="E524" s="27">
        <v>18.5</v>
      </c>
      <c r="F524" s="28">
        <v>79.17</v>
      </c>
      <c r="G524" s="30">
        <v>1200</v>
      </c>
      <c r="H524" s="30" t="s">
        <v>1030</v>
      </c>
      <c r="I524" s="30"/>
      <c r="J524" s="39">
        <v>0</v>
      </c>
    </row>
    <row r="525" spans="1:10" x14ac:dyDescent="0.3">
      <c r="A525" s="26" t="s">
        <v>1235</v>
      </c>
      <c r="B525" s="25" t="s">
        <v>1236</v>
      </c>
      <c r="C525" s="30" t="s">
        <v>208</v>
      </c>
      <c r="D525" s="32" t="s">
        <v>6</v>
      </c>
      <c r="E525" s="27">
        <v>18.5</v>
      </c>
      <c r="F525" s="28">
        <v>79.17</v>
      </c>
      <c r="G525" s="30">
        <v>1200</v>
      </c>
      <c r="H525" s="30" t="s">
        <v>1030</v>
      </c>
      <c r="I525" s="30"/>
      <c r="J525" s="39">
        <v>0</v>
      </c>
    </row>
    <row r="526" spans="1:10" x14ac:dyDescent="0.3">
      <c r="A526" s="30" t="s">
        <v>1237</v>
      </c>
      <c r="B526" s="25" t="s">
        <v>1238</v>
      </c>
      <c r="C526" s="30" t="s">
        <v>65</v>
      </c>
      <c r="D526" s="32" t="s">
        <v>1045</v>
      </c>
      <c r="E526" s="27">
        <v>45</v>
      </c>
      <c r="F526" s="28">
        <v>152.31</v>
      </c>
      <c r="G526" s="30">
        <v>300</v>
      </c>
      <c r="H526" s="30" t="s">
        <v>1030</v>
      </c>
      <c r="I526" s="30"/>
      <c r="J526" s="39">
        <v>0</v>
      </c>
    </row>
    <row r="527" spans="1:10" ht="25.2" x14ac:dyDescent="0.3">
      <c r="A527" s="26" t="s">
        <v>1239</v>
      </c>
      <c r="B527" s="31" t="s">
        <v>1240</v>
      </c>
      <c r="C527" s="30" t="s">
        <v>50</v>
      </c>
      <c r="D527" s="32" t="s">
        <v>969</v>
      </c>
      <c r="E527" s="27">
        <v>27</v>
      </c>
      <c r="F527" s="28">
        <v>65.2</v>
      </c>
      <c r="G527" s="30">
        <v>160</v>
      </c>
      <c r="H527" s="30" t="s">
        <v>1030</v>
      </c>
      <c r="I527" s="30"/>
      <c r="J527" s="39">
        <v>0</v>
      </c>
    </row>
    <row r="528" spans="1:10" x14ac:dyDescent="0.3">
      <c r="A528" s="24" t="s">
        <v>1241</v>
      </c>
      <c r="B528" s="25" t="s">
        <v>1242</v>
      </c>
      <c r="C528" s="30" t="s">
        <v>21</v>
      </c>
      <c r="D528" s="32" t="s">
        <v>970</v>
      </c>
      <c r="E528" s="27">
        <v>36</v>
      </c>
      <c r="F528" s="28">
        <v>195.93</v>
      </c>
      <c r="G528" s="30">
        <v>360</v>
      </c>
      <c r="H528" s="30" t="s">
        <v>1030</v>
      </c>
      <c r="I528" s="30"/>
      <c r="J528" s="39">
        <v>0</v>
      </c>
    </row>
    <row r="529" spans="1:10" x14ac:dyDescent="0.3">
      <c r="A529" s="24" t="s">
        <v>1243</v>
      </c>
      <c r="B529" s="25" t="s">
        <v>1244</v>
      </c>
      <c r="C529" s="30" t="s">
        <v>56</v>
      </c>
      <c r="D529" s="32" t="s">
        <v>10</v>
      </c>
      <c r="E529" s="27">
        <v>55</v>
      </c>
      <c r="F529" s="28">
        <v>218.9</v>
      </c>
      <c r="G529" s="30">
        <v>360</v>
      </c>
      <c r="H529" s="30" t="s">
        <v>1030</v>
      </c>
      <c r="I529" s="30"/>
      <c r="J529" s="39">
        <v>0</v>
      </c>
    </row>
    <row r="530" spans="1:10" x14ac:dyDescent="0.3">
      <c r="A530" s="24" t="s">
        <v>1245</v>
      </c>
      <c r="B530" s="25" t="s">
        <v>1246</v>
      </c>
      <c r="C530" s="26" t="s">
        <v>21</v>
      </c>
      <c r="D530" s="26" t="s">
        <v>288</v>
      </c>
      <c r="E530" s="27">
        <v>65</v>
      </c>
      <c r="F530" s="28">
        <v>337.5</v>
      </c>
      <c r="G530" s="29">
        <v>360</v>
      </c>
      <c r="H530" s="30" t="s">
        <v>1030</v>
      </c>
      <c r="I530" s="30"/>
      <c r="J530" s="39">
        <v>0</v>
      </c>
    </row>
    <row r="531" spans="1:10" x14ac:dyDescent="0.3">
      <c r="A531" s="26" t="s">
        <v>1247</v>
      </c>
      <c r="B531" s="25" t="s">
        <v>1248</v>
      </c>
      <c r="C531" s="30" t="s">
        <v>197</v>
      </c>
      <c r="D531" s="32" t="s">
        <v>10</v>
      </c>
      <c r="E531" s="27">
        <v>54</v>
      </c>
      <c r="F531" s="28">
        <v>196.77</v>
      </c>
      <c r="G531" s="30">
        <v>720</v>
      </c>
      <c r="H531" s="30" t="s">
        <v>1030</v>
      </c>
      <c r="I531" s="30"/>
      <c r="J531" s="39">
        <v>0</v>
      </c>
    </row>
    <row r="532" spans="1:10" x14ac:dyDescent="0.3">
      <c r="A532" s="24" t="s">
        <v>1249</v>
      </c>
      <c r="B532" s="25" t="s">
        <v>1250</v>
      </c>
      <c r="C532" s="26" t="s">
        <v>1029</v>
      </c>
      <c r="D532" s="26" t="s">
        <v>10</v>
      </c>
      <c r="E532" s="27">
        <v>35</v>
      </c>
      <c r="F532" s="28">
        <v>118.06</v>
      </c>
      <c r="G532" s="29">
        <v>1080</v>
      </c>
      <c r="H532" s="30" t="s">
        <v>1030</v>
      </c>
      <c r="I532" s="30"/>
      <c r="J532" s="39">
        <v>0</v>
      </c>
    </row>
    <row r="533" spans="1:10" ht="25.2" x14ac:dyDescent="0.3">
      <c r="A533" s="30" t="s">
        <v>1251</v>
      </c>
      <c r="B533" s="31" t="s">
        <v>1252</v>
      </c>
      <c r="C533" s="30" t="s">
        <v>1253</v>
      </c>
      <c r="D533" s="32" t="s">
        <v>1254</v>
      </c>
      <c r="E533" s="27">
        <v>25</v>
      </c>
      <c r="F533" s="28">
        <v>99.82</v>
      </c>
      <c r="G533" s="30">
        <v>300</v>
      </c>
      <c r="H533" s="30" t="s">
        <v>1030</v>
      </c>
      <c r="I533" s="30"/>
      <c r="J533" s="39">
        <v>0</v>
      </c>
    </row>
    <row r="534" spans="1:10" x14ac:dyDescent="0.3">
      <c r="A534" s="24" t="s">
        <v>1255</v>
      </c>
      <c r="B534" s="25" t="s">
        <v>1256</v>
      </c>
      <c r="C534" s="30" t="s">
        <v>197</v>
      </c>
      <c r="D534" s="32" t="s">
        <v>6</v>
      </c>
      <c r="E534" s="27">
        <v>23.5</v>
      </c>
      <c r="F534" s="28">
        <v>96.37</v>
      </c>
      <c r="G534" s="30">
        <v>1200</v>
      </c>
      <c r="H534" s="30" t="s">
        <v>1030</v>
      </c>
      <c r="I534" s="30"/>
      <c r="J534" s="39">
        <v>0</v>
      </c>
    </row>
    <row r="535" spans="1:10" x14ac:dyDescent="0.3">
      <c r="A535" s="24" t="s">
        <v>793</v>
      </c>
      <c r="B535" s="25" t="s">
        <v>794</v>
      </c>
      <c r="C535" s="26" t="s">
        <v>346</v>
      </c>
      <c r="D535" s="26" t="s">
        <v>129</v>
      </c>
      <c r="E535" s="27">
        <v>39.5</v>
      </c>
      <c r="F535" s="28">
        <v>143.43</v>
      </c>
      <c r="G535" s="29">
        <v>64</v>
      </c>
      <c r="H535" s="28" t="s">
        <v>1017</v>
      </c>
      <c r="I535" s="28"/>
      <c r="J535" s="22">
        <f>I535*E535</f>
        <v>0</v>
      </c>
    </row>
    <row r="536" spans="1:10" ht="37.799999999999997" x14ac:dyDescent="0.3">
      <c r="A536" s="24" t="s">
        <v>795</v>
      </c>
      <c r="B536" s="25" t="s">
        <v>796</v>
      </c>
      <c r="C536" s="26" t="s">
        <v>41</v>
      </c>
      <c r="D536" s="26" t="s">
        <v>42</v>
      </c>
      <c r="E536" s="27">
        <v>32.5</v>
      </c>
      <c r="F536" s="28">
        <v>114.77</v>
      </c>
      <c r="G536" s="29">
        <v>60</v>
      </c>
      <c r="H536" s="28" t="s">
        <v>1017</v>
      </c>
      <c r="I536" s="28"/>
      <c r="J536" s="22">
        <f>I536*E536</f>
        <v>0</v>
      </c>
    </row>
    <row r="537" spans="1:10" x14ac:dyDescent="0.3">
      <c r="A537" s="24" t="s">
        <v>797</v>
      </c>
      <c r="B537" s="25" t="s">
        <v>798</v>
      </c>
      <c r="C537" s="26" t="s">
        <v>106</v>
      </c>
      <c r="D537" s="26" t="s">
        <v>6</v>
      </c>
      <c r="E537" s="27">
        <v>12.5</v>
      </c>
      <c r="F537" s="28">
        <v>89.84</v>
      </c>
      <c r="G537" s="29">
        <v>540</v>
      </c>
      <c r="H537" s="28" t="s">
        <v>1017</v>
      </c>
      <c r="I537" s="28"/>
      <c r="J537" s="22">
        <f>I537*E537</f>
        <v>0</v>
      </c>
    </row>
    <row r="538" spans="1:10" x14ac:dyDescent="0.3">
      <c r="A538" s="24">
        <v>1000428</v>
      </c>
      <c r="B538" s="25" t="s">
        <v>799</v>
      </c>
      <c r="C538" s="26" t="s">
        <v>800</v>
      </c>
      <c r="D538" s="26" t="s">
        <v>801</v>
      </c>
      <c r="E538" s="27">
        <v>17</v>
      </c>
      <c r="F538" s="28">
        <v>82.3</v>
      </c>
      <c r="G538" s="29">
        <v>300</v>
      </c>
      <c r="H538" s="28" t="s">
        <v>1017</v>
      </c>
      <c r="I538" s="28"/>
      <c r="J538" s="22">
        <f>I538*E538</f>
        <v>0</v>
      </c>
    </row>
    <row r="539" spans="1:10" x14ac:dyDescent="0.3">
      <c r="A539" s="24">
        <v>1000343</v>
      </c>
      <c r="B539" s="25" t="s">
        <v>802</v>
      </c>
      <c r="C539" s="26" t="s">
        <v>803</v>
      </c>
      <c r="D539" s="26" t="s">
        <v>6</v>
      </c>
      <c r="E539" s="27">
        <v>15</v>
      </c>
      <c r="F539" s="28">
        <v>132.38</v>
      </c>
      <c r="G539" s="29">
        <v>720</v>
      </c>
      <c r="H539" s="28" t="s">
        <v>1017</v>
      </c>
      <c r="I539" s="28"/>
      <c r="J539" s="22">
        <f>I539*E539</f>
        <v>0</v>
      </c>
    </row>
    <row r="540" spans="1:10" x14ac:dyDescent="0.3">
      <c r="A540" s="24" t="s">
        <v>804</v>
      </c>
      <c r="B540" s="25" t="s">
        <v>805</v>
      </c>
      <c r="C540" s="26" t="s">
        <v>106</v>
      </c>
      <c r="D540" s="26" t="s">
        <v>6</v>
      </c>
      <c r="E540" s="27">
        <v>50</v>
      </c>
      <c r="F540" s="28">
        <v>253.12</v>
      </c>
      <c r="G540" s="29">
        <v>540</v>
      </c>
      <c r="H540" s="28" t="s">
        <v>1017</v>
      </c>
      <c r="I540" s="28"/>
      <c r="J540" s="22">
        <f>I540*E540</f>
        <v>0</v>
      </c>
    </row>
    <row r="541" spans="1:10" x14ac:dyDescent="0.3">
      <c r="A541" s="24" t="s">
        <v>806</v>
      </c>
      <c r="B541" s="25" t="s">
        <v>807</v>
      </c>
      <c r="C541" s="26" t="s">
        <v>24</v>
      </c>
      <c r="D541" s="26" t="s">
        <v>808</v>
      </c>
      <c r="E541" s="27">
        <v>14</v>
      </c>
      <c r="F541" s="28">
        <v>73.7</v>
      </c>
      <c r="G541" s="29">
        <v>1200</v>
      </c>
      <c r="H541" s="28" t="s">
        <v>1017</v>
      </c>
      <c r="I541" s="28"/>
      <c r="J541" s="22">
        <f>I541*E541</f>
        <v>0</v>
      </c>
    </row>
    <row r="542" spans="1:10" ht="25.2" x14ac:dyDescent="0.3">
      <c r="A542" s="30" t="s">
        <v>1257</v>
      </c>
      <c r="B542" s="31" t="s">
        <v>1258</v>
      </c>
      <c r="C542" s="30" t="s">
        <v>723</v>
      </c>
      <c r="D542" s="32" t="s">
        <v>80</v>
      </c>
      <c r="E542" s="27">
        <v>16.5</v>
      </c>
      <c r="F542" s="28">
        <v>66.099999999999994</v>
      </c>
      <c r="G542" s="30">
        <v>200</v>
      </c>
      <c r="H542" s="30" t="s">
        <v>1030</v>
      </c>
      <c r="I542" s="30"/>
      <c r="J542" s="39">
        <v>0</v>
      </c>
    </row>
    <row r="543" spans="1:10" ht="25.2" x14ac:dyDescent="0.3">
      <c r="A543" s="30" t="s">
        <v>1259</v>
      </c>
      <c r="B543" s="31" t="s">
        <v>1260</v>
      </c>
      <c r="C543" s="30" t="s">
        <v>100</v>
      </c>
      <c r="D543" s="32" t="s">
        <v>80</v>
      </c>
      <c r="E543" s="27">
        <v>24</v>
      </c>
      <c r="F543" s="28">
        <v>118.53</v>
      </c>
      <c r="G543" s="30">
        <v>150</v>
      </c>
      <c r="H543" s="30" t="s">
        <v>1030</v>
      </c>
      <c r="I543" s="30"/>
      <c r="J543" s="39">
        <v>0</v>
      </c>
    </row>
    <row r="544" spans="1:10" x14ac:dyDescent="0.3">
      <c r="A544" s="30" t="s">
        <v>1261</v>
      </c>
      <c r="B544" s="31" t="s">
        <v>1262</v>
      </c>
      <c r="C544" s="30" t="s">
        <v>680</v>
      </c>
      <c r="D544" s="32" t="s">
        <v>6</v>
      </c>
      <c r="E544" s="27">
        <v>9.5</v>
      </c>
      <c r="F544" s="28">
        <v>59.8</v>
      </c>
      <c r="G544" s="30">
        <v>1200</v>
      </c>
      <c r="H544" s="30" t="s">
        <v>1030</v>
      </c>
      <c r="I544" s="30"/>
      <c r="J544" s="39">
        <v>0</v>
      </c>
    </row>
    <row r="545" spans="1:10" x14ac:dyDescent="0.3">
      <c r="A545" s="30" t="s">
        <v>1263</v>
      </c>
      <c r="B545" s="31" t="s">
        <v>1264</v>
      </c>
      <c r="C545" s="30" t="s">
        <v>240</v>
      </c>
      <c r="D545" s="32" t="s">
        <v>6</v>
      </c>
      <c r="E545" s="27">
        <v>9.5</v>
      </c>
      <c r="F545" s="28">
        <v>49.5</v>
      </c>
      <c r="G545" s="30">
        <v>1620</v>
      </c>
      <c r="H545" s="30" t="s">
        <v>1030</v>
      </c>
      <c r="I545" s="30"/>
      <c r="J545" s="39">
        <v>0</v>
      </c>
    </row>
    <row r="546" spans="1:10" x14ac:dyDescent="0.3">
      <c r="A546" s="24">
        <v>1000240</v>
      </c>
      <c r="B546" s="25" t="s">
        <v>1265</v>
      </c>
      <c r="C546" s="30" t="s">
        <v>1140</v>
      </c>
      <c r="D546" s="32" t="s">
        <v>1137</v>
      </c>
      <c r="E546" s="27">
        <v>16.5</v>
      </c>
      <c r="F546" s="28">
        <v>140.62</v>
      </c>
      <c r="G546" s="30">
        <v>720</v>
      </c>
      <c r="H546" s="30" t="s">
        <v>1030</v>
      </c>
      <c r="I546" s="30"/>
      <c r="J546" s="39">
        <v>0</v>
      </c>
    </row>
    <row r="547" spans="1:10" x14ac:dyDescent="0.3">
      <c r="A547" s="24" t="s">
        <v>1266</v>
      </c>
      <c r="B547" s="25" t="s">
        <v>1267</v>
      </c>
      <c r="C547" s="30" t="s">
        <v>1268</v>
      </c>
      <c r="D547" s="32" t="s">
        <v>6</v>
      </c>
      <c r="E547" s="27">
        <v>7</v>
      </c>
      <c r="F547" s="28">
        <v>12.91</v>
      </c>
      <c r="G547" s="30">
        <v>3200</v>
      </c>
      <c r="H547" s="30" t="s">
        <v>1030</v>
      </c>
      <c r="I547" s="30"/>
      <c r="J547" s="39">
        <v>0</v>
      </c>
    </row>
    <row r="548" spans="1:10" x14ac:dyDescent="0.3">
      <c r="A548" s="24" t="s">
        <v>1269</v>
      </c>
      <c r="B548" s="25" t="s">
        <v>1270</v>
      </c>
      <c r="C548" s="30" t="s">
        <v>53</v>
      </c>
      <c r="D548" s="32" t="s">
        <v>6</v>
      </c>
      <c r="E548" s="27">
        <v>13</v>
      </c>
      <c r="F548" s="28">
        <v>25.83</v>
      </c>
      <c r="G548" s="30">
        <v>2400</v>
      </c>
      <c r="H548" s="30" t="s">
        <v>1030</v>
      </c>
      <c r="I548" s="30"/>
      <c r="J548" s="39">
        <v>0</v>
      </c>
    </row>
    <row r="549" spans="1:10" x14ac:dyDescent="0.3">
      <c r="A549" s="24" t="s">
        <v>1271</v>
      </c>
      <c r="B549" s="25" t="s">
        <v>1272</v>
      </c>
      <c r="C549" s="30" t="s">
        <v>1268</v>
      </c>
      <c r="D549" s="32" t="s">
        <v>6</v>
      </c>
      <c r="E549" s="27">
        <v>4.5</v>
      </c>
      <c r="F549" s="28">
        <v>7.24</v>
      </c>
      <c r="G549" s="30">
        <v>3200</v>
      </c>
      <c r="H549" s="30" t="s">
        <v>1030</v>
      </c>
      <c r="I549" s="30"/>
      <c r="J549" s="39">
        <v>0</v>
      </c>
    </row>
    <row r="550" spans="1:10" x14ac:dyDescent="0.3">
      <c r="A550" s="24">
        <v>1000403</v>
      </c>
      <c r="B550" s="25" t="s">
        <v>809</v>
      </c>
      <c r="C550" s="26" t="s">
        <v>56</v>
      </c>
      <c r="D550" s="26" t="s">
        <v>10</v>
      </c>
      <c r="E550" s="27">
        <v>12</v>
      </c>
      <c r="F550" s="28">
        <v>81.099999999999994</v>
      </c>
      <c r="G550" s="29">
        <v>720</v>
      </c>
      <c r="H550" s="28" t="s">
        <v>1017</v>
      </c>
      <c r="I550" s="28"/>
      <c r="J550" s="22">
        <f>I550*E550</f>
        <v>0</v>
      </c>
    </row>
    <row r="551" spans="1:10" ht="37.799999999999997" x14ac:dyDescent="0.3">
      <c r="A551" s="24" t="s">
        <v>810</v>
      </c>
      <c r="B551" s="25" t="s">
        <v>811</v>
      </c>
      <c r="C551" s="26" t="s">
        <v>723</v>
      </c>
      <c r="D551" s="26" t="s">
        <v>42</v>
      </c>
      <c r="E551" s="27">
        <v>26</v>
      </c>
      <c r="F551" s="28">
        <v>112.5</v>
      </c>
      <c r="G551" s="29">
        <v>200</v>
      </c>
      <c r="H551" s="28" t="s">
        <v>1017</v>
      </c>
      <c r="I551" s="28"/>
      <c r="J551" s="22">
        <f>I551*E551</f>
        <v>0</v>
      </c>
    </row>
    <row r="552" spans="1:10" ht="37.799999999999997" x14ac:dyDescent="0.3">
      <c r="A552" s="24" t="s">
        <v>812</v>
      </c>
      <c r="B552" s="25" t="s">
        <v>813</v>
      </c>
      <c r="C552" s="26" t="s">
        <v>50</v>
      </c>
      <c r="D552" s="26" t="s">
        <v>42</v>
      </c>
      <c r="E552" s="27">
        <v>16.5</v>
      </c>
      <c r="F552" s="28">
        <v>84.84</v>
      </c>
      <c r="G552" s="29">
        <v>300</v>
      </c>
      <c r="H552" s="28" t="s">
        <v>1017</v>
      </c>
      <c r="I552" s="28"/>
      <c r="J552" s="22">
        <f>I552*E552</f>
        <v>0</v>
      </c>
    </row>
    <row r="553" spans="1:10" x14ac:dyDescent="0.3">
      <c r="A553" s="24" t="s">
        <v>814</v>
      </c>
      <c r="B553" s="25" t="s">
        <v>815</v>
      </c>
      <c r="C553" s="26" t="s">
        <v>816</v>
      </c>
      <c r="D553" s="26" t="s">
        <v>10</v>
      </c>
      <c r="E553" s="27">
        <v>17.5</v>
      </c>
      <c r="F553" s="28">
        <v>174.69</v>
      </c>
      <c r="G553" s="29">
        <v>1000</v>
      </c>
      <c r="H553" s="28" t="s">
        <v>1017</v>
      </c>
      <c r="I553" s="28"/>
      <c r="J553" s="22">
        <f>I553*E553</f>
        <v>0</v>
      </c>
    </row>
    <row r="554" spans="1:10" x14ac:dyDescent="0.3">
      <c r="A554" s="35" t="s">
        <v>1273</v>
      </c>
      <c r="B554" s="34" t="s">
        <v>1274</v>
      </c>
      <c r="C554" s="35" t="s">
        <v>53</v>
      </c>
      <c r="D554" s="36" t="s">
        <v>10</v>
      </c>
      <c r="E554" s="37">
        <v>14.75</v>
      </c>
      <c r="F554" s="38">
        <v>158.81</v>
      </c>
      <c r="G554" s="35">
        <v>1440</v>
      </c>
      <c r="H554" s="35" t="s">
        <v>1030</v>
      </c>
      <c r="I554" s="35"/>
      <c r="J554" s="39">
        <v>0</v>
      </c>
    </row>
    <row r="555" spans="1:10" x14ac:dyDescent="0.3">
      <c r="A555" s="30">
        <v>1001273</v>
      </c>
      <c r="B555" s="31" t="s">
        <v>1275</v>
      </c>
      <c r="C555" s="26" t="s">
        <v>1276</v>
      </c>
      <c r="D555" s="33" t="s">
        <v>174</v>
      </c>
      <c r="E555" s="27">
        <v>4.5</v>
      </c>
      <c r="F555" s="28">
        <v>23.34</v>
      </c>
      <c r="G555" s="30">
        <v>800</v>
      </c>
      <c r="H555" s="30" t="s">
        <v>1030</v>
      </c>
      <c r="I555" s="30"/>
      <c r="J555" s="39">
        <v>0</v>
      </c>
    </row>
    <row r="556" spans="1:10" x14ac:dyDescent="0.3">
      <c r="A556" s="24">
        <v>1001510</v>
      </c>
      <c r="B556" s="25" t="s">
        <v>931</v>
      </c>
      <c r="C556" s="30" t="s">
        <v>28</v>
      </c>
      <c r="D556" s="32" t="s">
        <v>288</v>
      </c>
      <c r="E556" s="27">
        <v>50</v>
      </c>
      <c r="F556" s="28">
        <v>168</v>
      </c>
      <c r="G556" s="30">
        <v>360</v>
      </c>
      <c r="H556" s="28" t="s">
        <v>1017</v>
      </c>
      <c r="I556" s="28"/>
      <c r="J556" s="22">
        <f>I556*E556</f>
        <v>0</v>
      </c>
    </row>
    <row r="557" spans="1:10" x14ac:dyDescent="0.3">
      <c r="A557" s="24" t="s">
        <v>817</v>
      </c>
      <c r="B557" s="25" t="s">
        <v>818</v>
      </c>
      <c r="C557" s="26" t="s">
        <v>56</v>
      </c>
      <c r="D557" s="26" t="s">
        <v>10</v>
      </c>
      <c r="E557" s="27">
        <v>24</v>
      </c>
      <c r="F557" s="28">
        <v>93</v>
      </c>
      <c r="G557" s="29">
        <v>400</v>
      </c>
      <c r="H557" s="28" t="s">
        <v>1017</v>
      </c>
      <c r="I557" s="28"/>
      <c r="J557" s="22">
        <f>I557*E557</f>
        <v>0</v>
      </c>
    </row>
    <row r="558" spans="1:10" x14ac:dyDescent="0.3">
      <c r="A558" s="24" t="s">
        <v>819</v>
      </c>
      <c r="B558" s="25" t="s">
        <v>820</v>
      </c>
      <c r="C558" s="26" t="s">
        <v>56</v>
      </c>
      <c r="D558" s="26" t="s">
        <v>6</v>
      </c>
      <c r="E558" s="27">
        <v>26.5</v>
      </c>
      <c r="F558" s="28">
        <v>90.75</v>
      </c>
      <c r="G558" s="29">
        <v>480</v>
      </c>
      <c r="H558" s="28" t="s">
        <v>1017</v>
      </c>
      <c r="I558" s="28"/>
      <c r="J558" s="22">
        <f>I558*E558</f>
        <v>0</v>
      </c>
    </row>
    <row r="559" spans="1:10" x14ac:dyDescent="0.3">
      <c r="A559" s="24" t="s">
        <v>821</v>
      </c>
      <c r="B559" s="25" t="s">
        <v>822</v>
      </c>
      <c r="C559" s="26" t="s">
        <v>56</v>
      </c>
      <c r="D559" s="26" t="s">
        <v>6</v>
      </c>
      <c r="E559" s="27">
        <v>42</v>
      </c>
      <c r="F559" s="28">
        <v>181.5</v>
      </c>
      <c r="G559" s="29">
        <v>480</v>
      </c>
      <c r="H559" s="28" t="s">
        <v>1017</v>
      </c>
      <c r="I559" s="28"/>
      <c r="J559" s="22">
        <f>I559*E559</f>
        <v>0</v>
      </c>
    </row>
    <row r="560" spans="1:10" x14ac:dyDescent="0.3">
      <c r="A560" s="24">
        <v>1000698</v>
      </c>
      <c r="B560" s="25" t="s">
        <v>823</v>
      </c>
      <c r="C560" s="26" t="s">
        <v>56</v>
      </c>
      <c r="D560" s="26" t="s">
        <v>6</v>
      </c>
      <c r="E560" s="27">
        <v>26.5</v>
      </c>
      <c r="F560" s="28">
        <v>96.4</v>
      </c>
      <c r="G560" s="29">
        <v>480</v>
      </c>
      <c r="H560" s="28" t="s">
        <v>1017</v>
      </c>
      <c r="I560" s="28"/>
      <c r="J560" s="22">
        <f>I560*E560</f>
        <v>0</v>
      </c>
    </row>
    <row r="561" spans="1:10" ht="37.799999999999997" x14ac:dyDescent="0.3">
      <c r="A561" s="35" t="s">
        <v>1001</v>
      </c>
      <c r="B561" s="34" t="s">
        <v>1002</v>
      </c>
      <c r="C561" s="35" t="s">
        <v>41</v>
      </c>
      <c r="D561" s="36" t="s">
        <v>42</v>
      </c>
      <c r="E561" s="37">
        <v>30</v>
      </c>
      <c r="F561" s="38">
        <v>104.36</v>
      </c>
      <c r="G561" s="35">
        <v>60</v>
      </c>
      <c r="H561" s="35" t="s">
        <v>1017</v>
      </c>
      <c r="I561" s="35"/>
      <c r="J561" s="22">
        <f>I561*E561</f>
        <v>0</v>
      </c>
    </row>
    <row r="562" spans="1:10" x14ac:dyDescent="0.3">
      <c r="A562" s="24" t="s">
        <v>824</v>
      </c>
      <c r="B562" s="25" t="s">
        <v>825</v>
      </c>
      <c r="C562" s="26" t="s">
        <v>455</v>
      </c>
      <c r="D562" s="26" t="s">
        <v>16</v>
      </c>
      <c r="E562" s="27">
        <v>24.5</v>
      </c>
      <c r="F562" s="28">
        <v>175.82</v>
      </c>
      <c r="G562" s="29">
        <v>450</v>
      </c>
      <c r="H562" s="28" t="s">
        <v>1017</v>
      </c>
      <c r="I562" s="28"/>
      <c r="J562" s="22">
        <f>I562*E562</f>
        <v>0</v>
      </c>
    </row>
    <row r="563" spans="1:10" x14ac:dyDescent="0.3">
      <c r="A563" s="24">
        <v>1001072</v>
      </c>
      <c r="B563" s="25" t="s">
        <v>826</v>
      </c>
      <c r="C563" s="26" t="s">
        <v>407</v>
      </c>
      <c r="D563" s="26" t="s">
        <v>827</v>
      </c>
      <c r="E563" s="27">
        <v>98</v>
      </c>
      <c r="F563" s="28">
        <v>268</v>
      </c>
      <c r="G563" s="29">
        <v>72</v>
      </c>
      <c r="H563" s="28" t="s">
        <v>1017</v>
      </c>
      <c r="I563" s="28"/>
      <c r="J563" s="22">
        <f>I563*E563</f>
        <v>0</v>
      </c>
    </row>
    <row r="564" spans="1:10" x14ac:dyDescent="0.3">
      <c r="A564" s="24">
        <v>1001270</v>
      </c>
      <c r="B564" s="25" t="s">
        <v>828</v>
      </c>
      <c r="C564" s="26" t="s">
        <v>829</v>
      </c>
      <c r="D564" s="26" t="s">
        <v>827</v>
      </c>
      <c r="E564" s="27">
        <v>58</v>
      </c>
      <c r="F564" s="28">
        <v>164</v>
      </c>
      <c r="G564" s="29">
        <v>144</v>
      </c>
      <c r="H564" s="28" t="s">
        <v>1017</v>
      </c>
      <c r="I564" s="28"/>
      <c r="J564" s="22">
        <f>I564*E564</f>
        <v>0</v>
      </c>
    </row>
    <row r="565" spans="1:10" x14ac:dyDescent="0.3">
      <c r="A565" s="24">
        <v>1000078</v>
      </c>
      <c r="B565" s="25" t="s">
        <v>1277</v>
      </c>
      <c r="C565" s="30" t="s">
        <v>1140</v>
      </c>
      <c r="D565" s="32" t="s">
        <v>1137</v>
      </c>
      <c r="E565" s="27">
        <v>3.25</v>
      </c>
      <c r="F565" s="28">
        <v>27.94</v>
      </c>
      <c r="G565" s="30">
        <v>2500</v>
      </c>
      <c r="H565" s="30" t="s">
        <v>1030</v>
      </c>
      <c r="I565" s="30"/>
      <c r="J565" s="39">
        <v>0</v>
      </c>
    </row>
    <row r="566" spans="1:10" x14ac:dyDescent="0.3">
      <c r="A566" s="24" t="s">
        <v>830</v>
      </c>
      <c r="B566" s="25" t="s">
        <v>831</v>
      </c>
      <c r="C566" s="26" t="s">
        <v>363</v>
      </c>
      <c r="D566" s="26" t="s">
        <v>16</v>
      </c>
      <c r="E566" s="27">
        <v>11.75</v>
      </c>
      <c r="F566" s="28">
        <v>40.78</v>
      </c>
      <c r="G566" s="29">
        <v>600</v>
      </c>
      <c r="H566" s="28" t="s">
        <v>1017</v>
      </c>
      <c r="I566" s="28"/>
      <c r="J566" s="22">
        <f>I566*E566</f>
        <v>0</v>
      </c>
    </row>
    <row r="567" spans="1:10" x14ac:dyDescent="0.3">
      <c r="A567" s="24" t="s">
        <v>832</v>
      </c>
      <c r="B567" s="25" t="s">
        <v>833</v>
      </c>
      <c r="C567" s="26" t="s">
        <v>455</v>
      </c>
      <c r="D567" s="26" t="s">
        <v>16</v>
      </c>
      <c r="E567" s="27">
        <v>19.5</v>
      </c>
      <c r="F567" s="28">
        <v>124.78</v>
      </c>
      <c r="G567" s="29">
        <v>450</v>
      </c>
      <c r="H567" s="28" t="s">
        <v>1017</v>
      </c>
      <c r="I567" s="28"/>
      <c r="J567" s="22">
        <f>I567*E567</f>
        <v>0</v>
      </c>
    </row>
    <row r="568" spans="1:10" x14ac:dyDescent="0.3">
      <c r="A568" s="24">
        <v>1000897</v>
      </c>
      <c r="B568" s="25" t="s">
        <v>834</v>
      </c>
      <c r="C568" s="26" t="s">
        <v>835</v>
      </c>
      <c r="D568" s="26" t="s">
        <v>827</v>
      </c>
      <c r="E568" s="27">
        <v>42</v>
      </c>
      <c r="F568" s="28">
        <v>134</v>
      </c>
      <c r="G568" s="29">
        <v>120</v>
      </c>
      <c r="H568" s="28" t="s">
        <v>1017</v>
      </c>
      <c r="I568" s="28"/>
      <c r="J568" s="22">
        <f>I568*E568</f>
        <v>0</v>
      </c>
    </row>
    <row r="569" spans="1:10" x14ac:dyDescent="0.3">
      <c r="A569" s="24" t="s">
        <v>836</v>
      </c>
      <c r="B569" s="25" t="s">
        <v>837</v>
      </c>
      <c r="C569" s="26" t="s">
        <v>240</v>
      </c>
      <c r="D569" s="26" t="s">
        <v>91</v>
      </c>
      <c r="E569" s="27">
        <v>8.5</v>
      </c>
      <c r="F569" s="28">
        <v>78.599999999999994</v>
      </c>
      <c r="G569" s="29">
        <v>1920</v>
      </c>
      <c r="H569" s="28" t="s">
        <v>1017</v>
      </c>
      <c r="I569" s="28"/>
      <c r="J569" s="22">
        <f>I569*E569</f>
        <v>0</v>
      </c>
    </row>
    <row r="570" spans="1:10" x14ac:dyDescent="0.3">
      <c r="A570" s="24" t="s">
        <v>838</v>
      </c>
      <c r="B570" s="25" t="s">
        <v>839</v>
      </c>
      <c r="C570" s="26" t="s">
        <v>53</v>
      </c>
      <c r="D570" s="26" t="s">
        <v>6</v>
      </c>
      <c r="E570" s="27">
        <v>7.5</v>
      </c>
      <c r="F570" s="28">
        <v>39.6</v>
      </c>
      <c r="G570" s="29">
        <v>1440</v>
      </c>
      <c r="H570" s="28" t="s">
        <v>1017</v>
      </c>
      <c r="I570" s="28"/>
      <c r="J570" s="22">
        <f>I570*E570</f>
        <v>0</v>
      </c>
    </row>
    <row r="571" spans="1:10" ht="25.2" x14ac:dyDescent="0.3">
      <c r="A571" s="24" t="s">
        <v>840</v>
      </c>
      <c r="B571" s="25" t="s">
        <v>841</v>
      </c>
      <c r="C571" s="26" t="s">
        <v>842</v>
      </c>
      <c r="D571" s="26" t="s">
        <v>843</v>
      </c>
      <c r="E571" s="27">
        <v>17</v>
      </c>
      <c r="F571" s="28">
        <v>81.55</v>
      </c>
      <c r="G571" s="29">
        <v>960</v>
      </c>
      <c r="H571" s="28" t="s">
        <v>1017</v>
      </c>
      <c r="I571" s="28"/>
      <c r="J571" s="22">
        <f>I571*E571</f>
        <v>0</v>
      </c>
    </row>
    <row r="572" spans="1:10" x14ac:dyDescent="0.3">
      <c r="A572" s="30" t="s">
        <v>1278</v>
      </c>
      <c r="B572" s="31" t="s">
        <v>1279</v>
      </c>
      <c r="C572" s="30" t="s">
        <v>1280</v>
      </c>
      <c r="D572" s="32" t="s">
        <v>6</v>
      </c>
      <c r="E572" s="27">
        <v>7</v>
      </c>
      <c r="F572" s="28">
        <v>44.9</v>
      </c>
      <c r="G572" s="30">
        <v>1890</v>
      </c>
      <c r="H572" s="30" t="s">
        <v>1030</v>
      </c>
      <c r="I572" s="30"/>
      <c r="J572" s="39">
        <v>0</v>
      </c>
    </row>
    <row r="573" spans="1:10" x14ac:dyDescent="0.3">
      <c r="A573" s="30" t="s">
        <v>1281</v>
      </c>
      <c r="B573" s="31" t="s">
        <v>1282</v>
      </c>
      <c r="C573" s="30" t="s">
        <v>197</v>
      </c>
      <c r="D573" s="32" t="s">
        <v>6</v>
      </c>
      <c r="E573" s="27">
        <v>5.5</v>
      </c>
      <c r="F573" s="28">
        <v>44.91</v>
      </c>
      <c r="G573" s="30">
        <v>1200</v>
      </c>
      <c r="H573" s="30" t="s">
        <v>1030</v>
      </c>
      <c r="I573" s="30"/>
      <c r="J573" s="39">
        <v>0</v>
      </c>
    </row>
    <row r="574" spans="1:10" x14ac:dyDescent="0.3">
      <c r="A574" s="24" t="s">
        <v>844</v>
      </c>
      <c r="B574" s="25" t="s">
        <v>845</v>
      </c>
      <c r="C574" s="26" t="s">
        <v>53</v>
      </c>
      <c r="D574" s="26" t="s">
        <v>6</v>
      </c>
      <c r="E574" s="27">
        <v>13.5</v>
      </c>
      <c r="F574" s="28">
        <v>112.2</v>
      </c>
      <c r="G574" s="29">
        <v>720</v>
      </c>
      <c r="H574" s="28" t="s">
        <v>1017</v>
      </c>
      <c r="I574" s="28"/>
      <c r="J574" s="22">
        <f>I574*E574</f>
        <v>0</v>
      </c>
    </row>
    <row r="575" spans="1:10" x14ac:dyDescent="0.3">
      <c r="A575" s="24">
        <v>1000248</v>
      </c>
      <c r="B575" s="25" t="s">
        <v>846</v>
      </c>
      <c r="C575" s="26" t="s">
        <v>100</v>
      </c>
      <c r="D575" s="26" t="s">
        <v>84</v>
      </c>
      <c r="E575" s="27">
        <v>33.5</v>
      </c>
      <c r="F575" s="28">
        <v>116.53</v>
      </c>
      <c r="G575" s="29">
        <v>100</v>
      </c>
      <c r="H575" s="28" t="s">
        <v>1017</v>
      </c>
      <c r="I575" s="28"/>
      <c r="J575" s="22">
        <f>I575*E575</f>
        <v>0</v>
      </c>
    </row>
    <row r="576" spans="1:10" x14ac:dyDescent="0.3">
      <c r="A576" s="24">
        <v>1000681</v>
      </c>
      <c r="B576" s="25" t="s">
        <v>847</v>
      </c>
      <c r="C576" s="26" t="s">
        <v>407</v>
      </c>
      <c r="D576" s="26" t="s">
        <v>848</v>
      </c>
      <c r="E576" s="27">
        <v>28.5</v>
      </c>
      <c r="F576" s="28">
        <v>107.66</v>
      </c>
      <c r="G576" s="29">
        <v>120</v>
      </c>
      <c r="H576" s="28" t="s">
        <v>1017</v>
      </c>
      <c r="I576" s="28"/>
      <c r="J576" s="22">
        <f>I576*E576</f>
        <v>0</v>
      </c>
    </row>
    <row r="577" spans="1:10" ht="37.799999999999997" x14ac:dyDescent="0.3">
      <c r="A577" s="24" t="s">
        <v>849</v>
      </c>
      <c r="B577" s="25" t="s">
        <v>850</v>
      </c>
      <c r="C577" s="26" t="s">
        <v>100</v>
      </c>
      <c r="D577" s="26" t="s">
        <v>42</v>
      </c>
      <c r="E577" s="27">
        <v>29</v>
      </c>
      <c r="F577" s="28">
        <v>118.5</v>
      </c>
      <c r="G577" s="29">
        <v>150</v>
      </c>
      <c r="H577" s="28" t="s">
        <v>1017</v>
      </c>
      <c r="I577" s="28"/>
      <c r="J577" s="22">
        <f>I577*E577</f>
        <v>0</v>
      </c>
    </row>
    <row r="578" spans="1:10" x14ac:dyDescent="0.3">
      <c r="A578" s="24" t="s">
        <v>851</v>
      </c>
      <c r="B578" s="25" t="s">
        <v>852</v>
      </c>
      <c r="C578" s="26" t="s">
        <v>100</v>
      </c>
      <c r="D578" s="26" t="s">
        <v>129</v>
      </c>
      <c r="E578" s="27">
        <v>29.5</v>
      </c>
      <c r="F578" s="28">
        <v>119</v>
      </c>
      <c r="G578" s="29">
        <v>150</v>
      </c>
      <c r="H578" s="28" t="s">
        <v>1017</v>
      </c>
      <c r="I578" s="28"/>
      <c r="J578" s="22">
        <f>I578*E578</f>
        <v>0</v>
      </c>
    </row>
    <row r="579" spans="1:10" ht="37.799999999999997" x14ac:dyDescent="0.3">
      <c r="A579" s="24" t="s">
        <v>853</v>
      </c>
      <c r="B579" s="25" t="s">
        <v>854</v>
      </c>
      <c r="C579" s="26" t="s">
        <v>247</v>
      </c>
      <c r="D579" s="26" t="s">
        <v>42</v>
      </c>
      <c r="E579" s="27">
        <v>21.5</v>
      </c>
      <c r="F579" s="28">
        <v>79.400000000000006</v>
      </c>
      <c r="G579" s="29">
        <v>200</v>
      </c>
      <c r="H579" s="28" t="s">
        <v>1017</v>
      </c>
      <c r="I579" s="28"/>
      <c r="J579" s="22">
        <f>I579*E579</f>
        <v>0</v>
      </c>
    </row>
    <row r="580" spans="1:10" x14ac:dyDescent="0.3">
      <c r="A580" s="24" t="s">
        <v>855</v>
      </c>
      <c r="B580" s="25" t="s">
        <v>856</v>
      </c>
      <c r="C580" s="26" t="s">
        <v>100</v>
      </c>
      <c r="D580" s="26" t="s">
        <v>129</v>
      </c>
      <c r="E580" s="27">
        <v>29</v>
      </c>
      <c r="F580" s="28">
        <v>108.48</v>
      </c>
      <c r="G580" s="29">
        <v>150</v>
      </c>
      <c r="H580" s="28" t="s">
        <v>1017</v>
      </c>
      <c r="I580" s="28"/>
      <c r="J580" s="22">
        <f>I580*E580</f>
        <v>0</v>
      </c>
    </row>
    <row r="581" spans="1:10" ht="37.799999999999997" x14ac:dyDescent="0.3">
      <c r="A581" s="24" t="s">
        <v>857</v>
      </c>
      <c r="B581" s="25" t="s">
        <v>858</v>
      </c>
      <c r="C581" s="26" t="s">
        <v>247</v>
      </c>
      <c r="D581" s="26" t="s">
        <v>42</v>
      </c>
      <c r="E581" s="27">
        <v>19.5</v>
      </c>
      <c r="F581" s="28">
        <v>72.36</v>
      </c>
      <c r="G581" s="29">
        <v>200</v>
      </c>
      <c r="H581" s="28" t="s">
        <v>1017</v>
      </c>
      <c r="I581" s="28"/>
      <c r="J581" s="22">
        <f>I581*E581</f>
        <v>0</v>
      </c>
    </row>
    <row r="582" spans="1:10" ht="37.799999999999997" x14ac:dyDescent="0.3">
      <c r="A582" s="24" t="s">
        <v>859</v>
      </c>
      <c r="B582" s="25" t="s">
        <v>860</v>
      </c>
      <c r="C582" s="26" t="s">
        <v>293</v>
      </c>
      <c r="D582" s="26" t="s">
        <v>42</v>
      </c>
      <c r="E582" s="27">
        <v>19</v>
      </c>
      <c r="F582" s="28">
        <v>58.98</v>
      </c>
      <c r="G582" s="29">
        <v>300</v>
      </c>
      <c r="H582" s="28" t="s">
        <v>1017</v>
      </c>
      <c r="I582" s="28"/>
      <c r="J582" s="22">
        <f>I582*E582</f>
        <v>0</v>
      </c>
    </row>
    <row r="583" spans="1:10" ht="37.799999999999997" x14ac:dyDescent="0.3">
      <c r="A583" s="24" t="s">
        <v>861</v>
      </c>
      <c r="B583" s="25" t="s">
        <v>862</v>
      </c>
      <c r="C583" s="26" t="s">
        <v>100</v>
      </c>
      <c r="D583" s="26" t="s">
        <v>42</v>
      </c>
      <c r="E583" s="27">
        <v>26</v>
      </c>
      <c r="F583" s="28">
        <v>102.3</v>
      </c>
      <c r="G583" s="29">
        <v>150</v>
      </c>
      <c r="H583" s="28" t="s">
        <v>1017</v>
      </c>
      <c r="I583" s="28"/>
      <c r="J583" s="22">
        <f>I583*E583</f>
        <v>0</v>
      </c>
    </row>
    <row r="584" spans="1:10" ht="37.799999999999997" x14ac:dyDescent="0.3">
      <c r="A584" s="24" t="s">
        <v>863</v>
      </c>
      <c r="B584" s="25" t="s">
        <v>864</v>
      </c>
      <c r="C584" s="26" t="s">
        <v>723</v>
      </c>
      <c r="D584" s="26" t="s">
        <v>42</v>
      </c>
      <c r="E584" s="27">
        <v>20</v>
      </c>
      <c r="F584" s="28">
        <v>66.099999999999994</v>
      </c>
      <c r="G584" s="29">
        <v>200</v>
      </c>
      <c r="H584" s="28" t="s">
        <v>1017</v>
      </c>
      <c r="I584" s="28"/>
      <c r="J584" s="22">
        <f>I584*E584</f>
        <v>0</v>
      </c>
    </row>
    <row r="585" spans="1:10" ht="25.2" x14ac:dyDescent="0.3">
      <c r="A585" s="24" t="s">
        <v>865</v>
      </c>
      <c r="B585" s="25" t="s">
        <v>866</v>
      </c>
      <c r="C585" s="26" t="s">
        <v>50</v>
      </c>
      <c r="D585" s="26" t="s">
        <v>62</v>
      </c>
      <c r="E585" s="27">
        <v>36</v>
      </c>
      <c r="F585" s="28">
        <v>132.1</v>
      </c>
      <c r="G585" s="29">
        <v>120</v>
      </c>
      <c r="H585" s="28" t="s">
        <v>1017</v>
      </c>
      <c r="I585" s="28"/>
      <c r="J585" s="22">
        <f>I585*E585</f>
        <v>0</v>
      </c>
    </row>
    <row r="586" spans="1:10" x14ac:dyDescent="0.3">
      <c r="A586" s="24" t="s">
        <v>867</v>
      </c>
      <c r="B586" s="25" t="s">
        <v>868</v>
      </c>
      <c r="C586" s="26" t="s">
        <v>56</v>
      </c>
      <c r="D586" s="26" t="s">
        <v>25</v>
      </c>
      <c r="E586" s="27">
        <v>95</v>
      </c>
      <c r="F586" s="28">
        <v>383.56</v>
      </c>
      <c r="G586" s="29">
        <v>480</v>
      </c>
      <c r="H586" s="28" t="s">
        <v>1017</v>
      </c>
      <c r="I586" s="28"/>
      <c r="J586" s="22">
        <f>I586*E586</f>
        <v>0</v>
      </c>
    </row>
    <row r="587" spans="1:10" ht="25.2" x14ac:dyDescent="0.3">
      <c r="A587" s="24">
        <v>1001410</v>
      </c>
      <c r="B587" s="25" t="s">
        <v>869</v>
      </c>
      <c r="C587" s="26" t="s">
        <v>79</v>
      </c>
      <c r="D587" s="26" t="s">
        <v>870</v>
      </c>
      <c r="E587" s="27">
        <v>48</v>
      </c>
      <c r="F587" s="28">
        <v>187</v>
      </c>
      <c r="G587" s="29">
        <v>100</v>
      </c>
      <c r="H587" s="28" t="s">
        <v>1017</v>
      </c>
      <c r="I587" s="28"/>
      <c r="J587" s="22">
        <f>I587*E587</f>
        <v>0</v>
      </c>
    </row>
    <row r="588" spans="1:10" x14ac:dyDescent="0.3">
      <c r="A588" s="24" t="s">
        <v>871</v>
      </c>
      <c r="B588" s="25" t="s">
        <v>872</v>
      </c>
      <c r="C588" s="26" t="s">
        <v>187</v>
      </c>
      <c r="D588" s="26" t="s">
        <v>6</v>
      </c>
      <c r="E588" s="27">
        <v>24.5</v>
      </c>
      <c r="F588" s="28">
        <v>142.03</v>
      </c>
      <c r="G588" s="29">
        <v>960</v>
      </c>
      <c r="H588" s="28" t="s">
        <v>1017</v>
      </c>
      <c r="I588" s="28"/>
      <c r="J588" s="22">
        <f>I588*E588</f>
        <v>0</v>
      </c>
    </row>
    <row r="589" spans="1:10" x14ac:dyDescent="0.3">
      <c r="A589" s="24" t="s">
        <v>873</v>
      </c>
      <c r="B589" s="25" t="s">
        <v>874</v>
      </c>
      <c r="C589" s="26" t="s">
        <v>187</v>
      </c>
      <c r="D589" s="26" t="s">
        <v>6</v>
      </c>
      <c r="E589" s="27">
        <v>28.5</v>
      </c>
      <c r="F589" s="28">
        <v>238.2</v>
      </c>
      <c r="G589" s="29">
        <v>960</v>
      </c>
      <c r="H589" s="28" t="s">
        <v>1017</v>
      </c>
      <c r="I589" s="28"/>
      <c r="J589" s="22">
        <f>I589*E589</f>
        <v>0</v>
      </c>
    </row>
    <row r="590" spans="1:10" x14ac:dyDescent="0.3">
      <c r="A590" s="30" t="s">
        <v>1283</v>
      </c>
      <c r="B590" s="31" t="s">
        <v>1284</v>
      </c>
      <c r="C590" s="30" t="s">
        <v>1285</v>
      </c>
      <c r="D590" s="32" t="s">
        <v>672</v>
      </c>
      <c r="E590" s="27">
        <v>4.5</v>
      </c>
      <c r="F590" s="28">
        <v>22.4</v>
      </c>
      <c r="G590" s="30">
        <v>7000</v>
      </c>
      <c r="H590" s="30" t="s">
        <v>1030</v>
      </c>
      <c r="I590" s="30"/>
      <c r="J590" s="39">
        <v>0</v>
      </c>
    </row>
    <row r="591" spans="1:10" x14ac:dyDescent="0.3">
      <c r="A591" s="30" t="s">
        <v>1286</v>
      </c>
      <c r="B591" s="31" t="s">
        <v>1287</v>
      </c>
      <c r="C591" s="30" t="s">
        <v>1285</v>
      </c>
      <c r="D591" s="32" t="s">
        <v>672</v>
      </c>
      <c r="E591" s="27">
        <v>2.75</v>
      </c>
      <c r="F591" s="28">
        <v>7.57</v>
      </c>
      <c r="G591" s="30">
        <v>7000</v>
      </c>
      <c r="H591" s="30" t="s">
        <v>1030</v>
      </c>
      <c r="I591" s="30"/>
      <c r="J591" s="39">
        <v>0</v>
      </c>
    </row>
    <row r="592" spans="1:10" ht="25.2" x14ac:dyDescent="0.3">
      <c r="A592" s="24" t="s">
        <v>875</v>
      </c>
      <c r="B592" s="25" t="s">
        <v>876</v>
      </c>
      <c r="C592" s="26" t="s">
        <v>50</v>
      </c>
      <c r="D592" s="26" t="s">
        <v>62</v>
      </c>
      <c r="E592" s="27">
        <v>52</v>
      </c>
      <c r="F592" s="28">
        <v>171.36</v>
      </c>
      <c r="G592" s="29">
        <v>96</v>
      </c>
      <c r="H592" s="28" t="s">
        <v>1017</v>
      </c>
      <c r="I592" s="28"/>
      <c r="J592" s="22">
        <f>I592*E592</f>
        <v>0</v>
      </c>
    </row>
    <row r="593" spans="1:10" x14ac:dyDescent="0.3">
      <c r="A593" s="24" t="s">
        <v>877</v>
      </c>
      <c r="B593" s="25" t="s">
        <v>878</v>
      </c>
      <c r="C593" s="26" t="s">
        <v>56</v>
      </c>
      <c r="D593" s="26" t="s">
        <v>10</v>
      </c>
      <c r="E593" s="27">
        <v>70</v>
      </c>
      <c r="F593" s="28">
        <v>350.62</v>
      </c>
      <c r="G593" s="29">
        <v>600</v>
      </c>
      <c r="H593" s="28" t="s">
        <v>1017</v>
      </c>
      <c r="I593" s="28"/>
      <c r="J593" s="22">
        <f>I593*E593</f>
        <v>0</v>
      </c>
    </row>
    <row r="594" spans="1:10" x14ac:dyDescent="0.3">
      <c r="A594" s="24" t="s">
        <v>879</v>
      </c>
      <c r="B594" s="25" t="s">
        <v>880</v>
      </c>
      <c r="C594" s="26" t="s">
        <v>56</v>
      </c>
      <c r="D594" s="26" t="s">
        <v>10</v>
      </c>
      <c r="E594" s="27">
        <v>110</v>
      </c>
      <c r="F594" s="28">
        <v>553</v>
      </c>
      <c r="G594" s="29">
        <v>540</v>
      </c>
      <c r="H594" s="28" t="s">
        <v>1017</v>
      </c>
      <c r="I594" s="28"/>
      <c r="J594" s="22">
        <f>I594*E594</f>
        <v>0</v>
      </c>
    </row>
    <row r="595" spans="1:10" x14ac:dyDescent="0.3">
      <c r="A595" s="24" t="s">
        <v>881</v>
      </c>
      <c r="B595" s="25" t="s">
        <v>882</v>
      </c>
      <c r="C595" s="26" t="s">
        <v>59</v>
      </c>
      <c r="D595" s="26" t="s">
        <v>25</v>
      </c>
      <c r="E595" s="27">
        <v>105</v>
      </c>
      <c r="F595" s="28">
        <v>510.4</v>
      </c>
      <c r="G595" s="29">
        <v>300</v>
      </c>
      <c r="H595" s="28" t="s">
        <v>1017</v>
      </c>
      <c r="I595" s="28"/>
      <c r="J595" s="22">
        <f>I595*E595</f>
        <v>0</v>
      </c>
    </row>
    <row r="596" spans="1:10" x14ac:dyDescent="0.3">
      <c r="A596" s="24">
        <v>1000982</v>
      </c>
      <c r="B596" s="25" t="s">
        <v>883</v>
      </c>
      <c r="C596" s="26" t="s">
        <v>884</v>
      </c>
      <c r="D596" s="26" t="s">
        <v>6</v>
      </c>
      <c r="E596" s="27">
        <v>23.5</v>
      </c>
      <c r="F596" s="28">
        <v>272.25</v>
      </c>
      <c r="G596" s="29">
        <v>720</v>
      </c>
      <c r="H596" s="28" t="s">
        <v>1017</v>
      </c>
      <c r="I596" s="28"/>
      <c r="J596" s="22">
        <f>I596*E596</f>
        <v>0</v>
      </c>
    </row>
    <row r="597" spans="1:10" x14ac:dyDescent="0.3">
      <c r="A597" s="24" t="s">
        <v>885</v>
      </c>
      <c r="B597" s="25" t="s">
        <v>886</v>
      </c>
      <c r="C597" s="26" t="s">
        <v>887</v>
      </c>
      <c r="D597" s="26" t="s">
        <v>6</v>
      </c>
      <c r="E597" s="27">
        <v>29</v>
      </c>
      <c r="F597" s="28">
        <v>330</v>
      </c>
      <c r="G597" s="29">
        <v>720</v>
      </c>
      <c r="H597" s="28" t="s">
        <v>1017</v>
      </c>
      <c r="I597" s="28"/>
      <c r="J597" s="22">
        <f>I597*E597</f>
        <v>0</v>
      </c>
    </row>
    <row r="598" spans="1:10" ht="37.799999999999997" x14ac:dyDescent="0.3">
      <c r="A598" s="24">
        <v>1000085</v>
      </c>
      <c r="B598" s="25" t="s">
        <v>888</v>
      </c>
      <c r="C598" s="26" t="s">
        <v>41</v>
      </c>
      <c r="D598" s="26" t="s">
        <v>42</v>
      </c>
      <c r="E598" s="27">
        <v>34</v>
      </c>
      <c r="F598" s="28">
        <v>153.94</v>
      </c>
      <c r="G598" s="29">
        <v>60</v>
      </c>
      <c r="H598" s="28" t="s">
        <v>1017</v>
      </c>
      <c r="I598" s="28"/>
      <c r="J598" s="22">
        <f>I598*E598</f>
        <v>0</v>
      </c>
    </row>
    <row r="599" spans="1:10" x14ac:dyDescent="0.3">
      <c r="A599" s="35" t="s">
        <v>1003</v>
      </c>
      <c r="B599" s="34" t="s">
        <v>1004</v>
      </c>
      <c r="C599" s="35" t="s">
        <v>28</v>
      </c>
      <c r="D599" s="36" t="s">
        <v>6</v>
      </c>
      <c r="E599" s="37">
        <v>9.5</v>
      </c>
      <c r="F599" s="38">
        <v>67.03</v>
      </c>
      <c r="G599" s="35">
        <v>1200</v>
      </c>
      <c r="H599" s="35" t="s">
        <v>1017</v>
      </c>
      <c r="I599" s="35"/>
      <c r="J599" s="22">
        <f>I599*E599</f>
        <v>0</v>
      </c>
    </row>
    <row r="600" spans="1:10" x14ac:dyDescent="0.3">
      <c r="A600" s="24">
        <v>1000092</v>
      </c>
      <c r="B600" s="25" t="s">
        <v>889</v>
      </c>
      <c r="C600" s="26" t="s">
        <v>56</v>
      </c>
      <c r="D600" s="26" t="s">
        <v>6</v>
      </c>
      <c r="E600" s="27">
        <v>14.5</v>
      </c>
      <c r="F600" s="28">
        <v>124.35</v>
      </c>
      <c r="G600" s="29">
        <v>600</v>
      </c>
      <c r="H600" s="28" t="s">
        <v>1017</v>
      </c>
      <c r="I600" s="28"/>
      <c r="J600" s="22">
        <f>I600*E600</f>
        <v>0</v>
      </c>
    </row>
    <row r="601" spans="1:10" ht="37.799999999999997" x14ac:dyDescent="0.3">
      <c r="A601" s="24" t="s">
        <v>890</v>
      </c>
      <c r="B601" s="25" t="s">
        <v>891</v>
      </c>
      <c r="C601" s="26" t="s">
        <v>50</v>
      </c>
      <c r="D601" s="26" t="s">
        <v>171</v>
      </c>
      <c r="E601" s="27">
        <v>37</v>
      </c>
      <c r="F601" s="28">
        <v>97.95</v>
      </c>
      <c r="G601" s="29">
        <v>120</v>
      </c>
      <c r="H601" s="28" t="s">
        <v>1017</v>
      </c>
      <c r="I601" s="28"/>
      <c r="J601" s="22">
        <f>I601*E601</f>
        <v>0</v>
      </c>
    </row>
    <row r="602" spans="1:10" ht="37.799999999999997" x14ac:dyDescent="0.3">
      <c r="A602" s="24" t="s">
        <v>892</v>
      </c>
      <c r="B602" s="25" t="s">
        <v>893</v>
      </c>
      <c r="C602" s="26" t="s">
        <v>50</v>
      </c>
      <c r="D602" s="26" t="s">
        <v>171</v>
      </c>
      <c r="E602" s="27">
        <v>49</v>
      </c>
      <c r="F602" s="28">
        <v>109.93</v>
      </c>
      <c r="G602" s="29">
        <v>120</v>
      </c>
      <c r="H602" s="28" t="s">
        <v>1017</v>
      </c>
      <c r="I602" s="28"/>
      <c r="J602" s="22">
        <f>I602*E602</f>
        <v>0</v>
      </c>
    </row>
    <row r="603" spans="1:10" x14ac:dyDescent="0.3">
      <c r="A603" s="24" t="s">
        <v>894</v>
      </c>
      <c r="B603" s="25" t="s">
        <v>895</v>
      </c>
      <c r="C603" s="26" t="s">
        <v>896</v>
      </c>
      <c r="D603" s="26" t="s">
        <v>6</v>
      </c>
      <c r="E603" s="27">
        <v>36</v>
      </c>
      <c r="F603" s="28">
        <v>75.28</v>
      </c>
      <c r="G603" s="29">
        <v>720</v>
      </c>
      <c r="H603" s="28" t="s">
        <v>1017</v>
      </c>
      <c r="I603" s="28"/>
      <c r="J603" s="22">
        <f>I603*E603</f>
        <v>0</v>
      </c>
    </row>
    <row r="604" spans="1:10" x14ac:dyDescent="0.3">
      <c r="A604" s="24" t="s">
        <v>913</v>
      </c>
      <c r="B604" s="25" t="s">
        <v>914</v>
      </c>
      <c r="C604" s="26" t="s">
        <v>915</v>
      </c>
      <c r="D604" s="26" t="s">
        <v>6</v>
      </c>
      <c r="E604" s="27">
        <v>49</v>
      </c>
      <c r="F604" s="28">
        <v>138.75</v>
      </c>
      <c r="G604" s="29">
        <v>720</v>
      </c>
      <c r="H604" s="28" t="s">
        <v>1017</v>
      </c>
      <c r="I604" s="28"/>
      <c r="J604" s="22">
        <f>I604*E604</f>
        <v>0</v>
      </c>
    </row>
    <row r="605" spans="1:10" x14ac:dyDescent="0.3">
      <c r="A605" s="24" t="s">
        <v>897</v>
      </c>
      <c r="B605" s="25" t="s">
        <v>898</v>
      </c>
      <c r="C605" s="26" t="s">
        <v>899</v>
      </c>
      <c r="D605" s="26" t="s">
        <v>6</v>
      </c>
      <c r="E605" s="27">
        <v>36</v>
      </c>
      <c r="F605" s="28">
        <v>76</v>
      </c>
      <c r="G605" s="29">
        <v>1000</v>
      </c>
      <c r="H605" s="28" t="s">
        <v>1017</v>
      </c>
      <c r="I605" s="28"/>
      <c r="J605" s="22">
        <f>I605*E605</f>
        <v>0</v>
      </c>
    </row>
    <row r="606" spans="1:10" x14ac:dyDescent="0.3">
      <c r="A606" s="35" t="s">
        <v>1005</v>
      </c>
      <c r="B606" s="34" t="s">
        <v>1006</v>
      </c>
      <c r="C606" s="35" t="s">
        <v>28</v>
      </c>
      <c r="D606" s="36" t="s">
        <v>10</v>
      </c>
      <c r="E606" s="37">
        <v>27.6</v>
      </c>
      <c r="F606" s="38">
        <v>98.12</v>
      </c>
      <c r="G606" s="35">
        <v>1200</v>
      </c>
      <c r="H606" s="35" t="s">
        <v>1017</v>
      </c>
      <c r="I606" s="35"/>
      <c r="J606" s="22">
        <f>I606*E606</f>
        <v>0</v>
      </c>
    </row>
    <row r="607" spans="1:10" x14ac:dyDescent="0.3">
      <c r="A607" s="24" t="s">
        <v>900</v>
      </c>
      <c r="B607" s="25" t="s">
        <v>901</v>
      </c>
      <c r="C607" s="26" t="s">
        <v>28</v>
      </c>
      <c r="D607" s="26" t="s">
        <v>10</v>
      </c>
      <c r="E607" s="27">
        <v>46</v>
      </c>
      <c r="F607" s="28">
        <v>184.6</v>
      </c>
      <c r="G607" s="29">
        <v>1000</v>
      </c>
      <c r="H607" s="28" t="s">
        <v>1017</v>
      </c>
      <c r="I607" s="28"/>
      <c r="J607" s="22">
        <f>I607*E607</f>
        <v>0</v>
      </c>
    </row>
    <row r="608" spans="1:10" ht="25.2" x14ac:dyDescent="0.3">
      <c r="A608" s="35" t="s">
        <v>1007</v>
      </c>
      <c r="B608" s="34" t="s">
        <v>1008</v>
      </c>
      <c r="C608" s="35" t="s">
        <v>50</v>
      </c>
      <c r="D608" s="36" t="s">
        <v>51</v>
      </c>
      <c r="E608" s="37">
        <v>28.65</v>
      </c>
      <c r="F608" s="38">
        <v>76.537499999999994</v>
      </c>
      <c r="G608" s="35">
        <v>200</v>
      </c>
      <c r="H608" s="35" t="s">
        <v>1017</v>
      </c>
      <c r="I608" s="35"/>
      <c r="J608" s="22">
        <f>I608*E608</f>
        <v>0</v>
      </c>
    </row>
    <row r="609" spans="1:10" x14ac:dyDescent="0.3">
      <c r="A609" s="35" t="s">
        <v>1009</v>
      </c>
      <c r="B609" s="34" t="s">
        <v>1010</v>
      </c>
      <c r="C609" s="35" t="s">
        <v>53</v>
      </c>
      <c r="D609" s="36" t="s">
        <v>10</v>
      </c>
      <c r="E609" s="37">
        <v>25</v>
      </c>
      <c r="F609" s="38">
        <v>108.15</v>
      </c>
      <c r="G609" s="35">
        <v>2000</v>
      </c>
      <c r="H609" s="35" t="s">
        <v>1017</v>
      </c>
      <c r="I609" s="35"/>
      <c r="J609" s="22">
        <f>I609*E609</f>
        <v>0</v>
      </c>
    </row>
    <row r="610" spans="1:10" x14ac:dyDescent="0.3">
      <c r="A610" s="35" t="s">
        <v>1011</v>
      </c>
      <c r="B610" s="34" t="s">
        <v>1012</v>
      </c>
      <c r="C610" s="35" t="s">
        <v>53</v>
      </c>
      <c r="D610" s="36" t="s">
        <v>10</v>
      </c>
      <c r="E610" s="37">
        <v>33.200000000000003</v>
      </c>
      <c r="F610" s="38">
        <v>104.47499999999999</v>
      </c>
      <c r="G610" s="35">
        <v>2000</v>
      </c>
      <c r="H610" s="35" t="s">
        <v>1017</v>
      </c>
      <c r="I610" s="35"/>
      <c r="J610" s="22">
        <f>I610*E610</f>
        <v>0</v>
      </c>
    </row>
    <row r="611" spans="1:10" ht="25.2" x14ac:dyDescent="0.3">
      <c r="A611" s="35" t="s">
        <v>1013</v>
      </c>
      <c r="B611" s="34" t="s">
        <v>1014</v>
      </c>
      <c r="C611" s="35" t="s">
        <v>50</v>
      </c>
      <c r="D611" s="36" t="s">
        <v>51</v>
      </c>
      <c r="E611" s="37">
        <v>28.4</v>
      </c>
      <c r="F611" s="38">
        <v>96.42</v>
      </c>
      <c r="G611" s="35">
        <v>200</v>
      </c>
      <c r="H611" s="35" t="s">
        <v>1017</v>
      </c>
      <c r="I611" s="35"/>
      <c r="J611" s="22">
        <f>I611*E611</f>
        <v>0</v>
      </c>
    </row>
    <row r="612" spans="1:10" x14ac:dyDescent="0.3">
      <c r="A612" s="35" t="s">
        <v>1015</v>
      </c>
      <c r="B612" s="34" t="s">
        <v>1016</v>
      </c>
      <c r="C612" s="35" t="s">
        <v>28</v>
      </c>
      <c r="D612" s="36" t="s">
        <v>10</v>
      </c>
      <c r="E612" s="37">
        <v>50</v>
      </c>
      <c r="F612" s="38">
        <v>204.18</v>
      </c>
      <c r="G612" s="35">
        <v>600</v>
      </c>
      <c r="H612" s="35" t="s">
        <v>1017</v>
      </c>
      <c r="I612" s="35"/>
      <c r="J612" s="22">
        <f>I612*E612</f>
        <v>0</v>
      </c>
    </row>
  </sheetData>
  <sortState xmlns:xlrd2="http://schemas.microsoft.com/office/spreadsheetml/2017/richdata2" ref="A3:J612">
    <sortCondition ref="B2:B612"/>
  </sortState>
  <mergeCells count="1">
    <mergeCell ref="A1:H1"/>
  </mergeCells>
  <conditionalFormatting sqref="A84">
    <cfRule type="duplicateValues" dxfId="74" priority="117"/>
  </conditionalFormatting>
  <conditionalFormatting sqref="A254">
    <cfRule type="duplicateValues" dxfId="73" priority="101"/>
  </conditionalFormatting>
  <conditionalFormatting sqref="A255:A346 A2:A83 A85:A253">
    <cfRule type="duplicateValues" dxfId="72" priority="485"/>
  </conditionalFormatting>
  <conditionalFormatting sqref="A347">
    <cfRule type="duplicateValues" dxfId="71" priority="184"/>
  </conditionalFormatting>
  <conditionalFormatting sqref="A348">
    <cfRule type="duplicateValues" dxfId="70" priority="178"/>
  </conditionalFormatting>
  <conditionalFormatting sqref="A349">
    <cfRule type="duplicateValues" dxfId="69" priority="176"/>
  </conditionalFormatting>
  <conditionalFormatting sqref="A350">
    <cfRule type="duplicateValues" dxfId="68" priority="172"/>
  </conditionalFormatting>
  <conditionalFormatting sqref="A351">
    <cfRule type="duplicateValues" dxfId="67" priority="170"/>
  </conditionalFormatting>
  <conditionalFormatting sqref="A352">
    <cfRule type="duplicateValues" dxfId="66" priority="164"/>
  </conditionalFormatting>
  <conditionalFormatting sqref="A353">
    <cfRule type="duplicateValues" dxfId="65" priority="162"/>
  </conditionalFormatting>
  <conditionalFormatting sqref="A354">
    <cfRule type="duplicateValues" dxfId="64" priority="160"/>
  </conditionalFormatting>
  <conditionalFormatting sqref="A355">
    <cfRule type="duplicateValues" dxfId="63" priority="156"/>
  </conditionalFormatting>
  <conditionalFormatting sqref="A356">
    <cfRule type="duplicateValues" dxfId="62" priority="154"/>
  </conditionalFormatting>
  <conditionalFormatting sqref="A357">
    <cfRule type="duplicateValues" dxfId="61" priority="152"/>
  </conditionalFormatting>
  <conditionalFormatting sqref="A358">
    <cfRule type="duplicateValues" dxfId="60" priority="150"/>
  </conditionalFormatting>
  <conditionalFormatting sqref="A359">
    <cfRule type="duplicateValues" dxfId="59" priority="148"/>
  </conditionalFormatting>
  <conditionalFormatting sqref="A360">
    <cfRule type="duplicateValues" dxfId="58" priority="142"/>
  </conditionalFormatting>
  <conditionalFormatting sqref="A361">
    <cfRule type="duplicateValues" dxfId="57" priority="146"/>
  </conditionalFormatting>
  <conditionalFormatting sqref="A362">
    <cfRule type="duplicateValues" dxfId="56" priority="144"/>
  </conditionalFormatting>
  <conditionalFormatting sqref="A363">
    <cfRule type="duplicateValues" dxfId="55" priority="140"/>
  </conditionalFormatting>
  <conditionalFormatting sqref="A364">
    <cfRule type="duplicateValues" dxfId="54" priority="138"/>
  </conditionalFormatting>
  <conditionalFormatting sqref="A365">
    <cfRule type="duplicateValues" dxfId="53" priority="136"/>
  </conditionalFormatting>
  <conditionalFormatting sqref="A366">
    <cfRule type="duplicateValues" dxfId="52" priority="134"/>
  </conditionalFormatting>
  <conditionalFormatting sqref="A367">
    <cfRule type="duplicateValues" dxfId="51" priority="132"/>
  </conditionalFormatting>
  <conditionalFormatting sqref="A368">
    <cfRule type="duplicateValues" dxfId="50" priority="124"/>
  </conditionalFormatting>
  <conditionalFormatting sqref="A369">
    <cfRule type="duplicateValues" dxfId="49" priority="120"/>
  </conditionalFormatting>
  <conditionalFormatting sqref="A370">
    <cfRule type="duplicateValues" dxfId="48" priority="118"/>
  </conditionalFormatting>
  <conditionalFormatting sqref="A371">
    <cfRule type="duplicateValues" dxfId="47" priority="115"/>
  </conditionalFormatting>
  <conditionalFormatting sqref="A372">
    <cfRule type="duplicateValues" dxfId="46" priority="113"/>
  </conditionalFormatting>
  <conditionalFormatting sqref="A373">
    <cfRule type="duplicateValues" dxfId="45" priority="111"/>
  </conditionalFormatting>
  <conditionalFormatting sqref="A374:A380">
    <cfRule type="duplicateValues" dxfId="44" priority="384"/>
  </conditionalFormatting>
  <conditionalFormatting sqref="A381:A454">
    <cfRule type="duplicateValues" dxfId="43" priority="387"/>
  </conditionalFormatting>
  <conditionalFormatting sqref="A455">
    <cfRule type="duplicateValues" dxfId="42" priority="63"/>
  </conditionalFormatting>
  <conditionalFormatting sqref="A456">
    <cfRule type="duplicateValues" dxfId="41" priority="60"/>
  </conditionalFormatting>
  <conditionalFormatting sqref="A457">
    <cfRule type="duplicateValues" dxfId="40" priority="58"/>
  </conditionalFormatting>
  <conditionalFormatting sqref="A458">
    <cfRule type="duplicateValues" dxfId="39" priority="54"/>
  </conditionalFormatting>
  <conditionalFormatting sqref="A485:A486">
    <cfRule type="duplicateValues" dxfId="38" priority="52"/>
  </conditionalFormatting>
  <conditionalFormatting sqref="A487 A459:A484">
    <cfRule type="duplicateValues" dxfId="37" priority="56"/>
  </conditionalFormatting>
  <conditionalFormatting sqref="B254">
    <cfRule type="duplicateValues" dxfId="36" priority="102"/>
  </conditionalFormatting>
  <conditionalFormatting sqref="B255:B346 B2:B253">
    <cfRule type="duplicateValues" dxfId="35" priority="490"/>
  </conditionalFormatting>
  <conditionalFormatting sqref="B347">
    <cfRule type="duplicateValues" dxfId="34" priority="185"/>
  </conditionalFormatting>
  <conditionalFormatting sqref="B348">
    <cfRule type="duplicateValues" dxfId="33" priority="179"/>
  </conditionalFormatting>
  <conditionalFormatting sqref="B349">
    <cfRule type="duplicateValues" dxfId="32" priority="177"/>
  </conditionalFormatting>
  <conditionalFormatting sqref="B350">
    <cfRule type="duplicateValues" dxfId="31" priority="173"/>
  </conditionalFormatting>
  <conditionalFormatting sqref="B351">
    <cfRule type="duplicateValues" dxfId="30" priority="171"/>
  </conditionalFormatting>
  <conditionalFormatting sqref="B352">
    <cfRule type="duplicateValues" dxfId="29" priority="165"/>
  </conditionalFormatting>
  <conditionalFormatting sqref="B353">
    <cfRule type="duplicateValues" dxfId="28" priority="163"/>
  </conditionalFormatting>
  <conditionalFormatting sqref="B354">
    <cfRule type="duplicateValues" dxfId="27" priority="161"/>
  </conditionalFormatting>
  <conditionalFormatting sqref="B355">
    <cfRule type="duplicateValues" dxfId="26" priority="157"/>
  </conditionalFormatting>
  <conditionalFormatting sqref="B356">
    <cfRule type="duplicateValues" dxfId="25" priority="155"/>
  </conditionalFormatting>
  <conditionalFormatting sqref="B357">
    <cfRule type="duplicateValues" dxfId="24" priority="153"/>
  </conditionalFormatting>
  <conditionalFormatting sqref="B358">
    <cfRule type="duplicateValues" dxfId="23" priority="151"/>
  </conditionalFormatting>
  <conditionalFormatting sqref="B359">
    <cfRule type="duplicateValues" dxfId="22" priority="149"/>
  </conditionalFormatting>
  <conditionalFormatting sqref="B360">
    <cfRule type="duplicateValues" dxfId="21" priority="143"/>
  </conditionalFormatting>
  <conditionalFormatting sqref="B361">
    <cfRule type="duplicateValues" dxfId="20" priority="147"/>
  </conditionalFormatting>
  <conditionalFormatting sqref="B362">
    <cfRule type="duplicateValues" dxfId="19" priority="145"/>
  </conditionalFormatting>
  <conditionalFormatting sqref="B363">
    <cfRule type="duplicateValues" dxfId="18" priority="141"/>
  </conditionalFormatting>
  <conditionalFormatting sqref="B364">
    <cfRule type="duplicateValues" dxfId="17" priority="139"/>
  </conditionalFormatting>
  <conditionalFormatting sqref="B365">
    <cfRule type="duplicateValues" dxfId="16" priority="137"/>
  </conditionalFormatting>
  <conditionalFormatting sqref="B366">
    <cfRule type="duplicateValues" dxfId="15" priority="135"/>
  </conditionalFormatting>
  <conditionalFormatting sqref="B367">
    <cfRule type="duplicateValues" dxfId="14" priority="133"/>
  </conditionalFormatting>
  <conditionalFormatting sqref="B368">
    <cfRule type="duplicateValues" dxfId="13" priority="125"/>
  </conditionalFormatting>
  <conditionalFormatting sqref="B369">
    <cfRule type="duplicateValues" dxfId="12" priority="121"/>
  </conditionalFormatting>
  <conditionalFormatting sqref="B370">
    <cfRule type="duplicateValues" dxfId="11" priority="119"/>
  </conditionalFormatting>
  <conditionalFormatting sqref="B371">
    <cfRule type="duplicateValues" dxfId="10" priority="116"/>
  </conditionalFormatting>
  <conditionalFormatting sqref="B372">
    <cfRule type="duplicateValues" dxfId="9" priority="114"/>
  </conditionalFormatting>
  <conditionalFormatting sqref="B373">
    <cfRule type="duplicateValues" dxfId="8" priority="112"/>
  </conditionalFormatting>
  <conditionalFormatting sqref="B374:B380">
    <cfRule type="duplicateValues" dxfId="7" priority="383"/>
  </conditionalFormatting>
  <conditionalFormatting sqref="B381:B454">
    <cfRule type="duplicateValues" dxfId="6" priority="388"/>
  </conditionalFormatting>
  <conditionalFormatting sqref="B455">
    <cfRule type="duplicateValues" dxfId="5" priority="64"/>
  </conditionalFormatting>
  <conditionalFormatting sqref="B456">
    <cfRule type="duplicateValues" dxfId="4" priority="61"/>
  </conditionalFormatting>
  <conditionalFormatting sqref="B457">
    <cfRule type="duplicateValues" dxfId="3" priority="59"/>
  </conditionalFormatting>
  <conditionalFormatting sqref="B458">
    <cfRule type="duplicateValues" dxfId="2" priority="55"/>
  </conditionalFormatting>
  <conditionalFormatting sqref="B485:B486">
    <cfRule type="duplicateValues" dxfId="1" priority="53"/>
  </conditionalFormatting>
  <conditionalFormatting sqref="B487 B459:B484">
    <cfRule type="duplicateValues" dxfId="0" priority="57"/>
  </conditionalFormatting>
  <conditionalFormatting sqref="E15"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17">
    <cfRule type="iconSet" priority="50">
      <iconSet iconSet="3Arrows">
        <cfvo type="percent" val="0"/>
        <cfvo type="percent" val="33"/>
        <cfvo type="percent" val="67"/>
      </iconSet>
    </cfRule>
  </conditionalFormatting>
  <conditionalFormatting sqref="E42">
    <cfRule type="iconSet" priority="49">
      <iconSet iconSet="3Arrows">
        <cfvo type="percent" val="0"/>
        <cfvo type="percent" val="33"/>
        <cfvo type="percent" val="67"/>
      </iconSet>
    </cfRule>
  </conditionalFormatting>
  <conditionalFormatting sqref="E43"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E46"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66">
    <cfRule type="iconSet" priority="46">
      <iconSet iconSet="3Arrows">
        <cfvo type="percent" val="0"/>
        <cfvo type="percent" val="33"/>
        <cfvo type="percent" val="67"/>
      </iconSet>
    </cfRule>
  </conditionalFormatting>
  <conditionalFormatting sqref="E68">
    <cfRule type="iconSet" priority="45">
      <iconSet iconSet="3Arrows">
        <cfvo type="percent" val="0"/>
        <cfvo type="percent" val="33"/>
        <cfvo type="percent" val="67"/>
      </iconSet>
    </cfRule>
  </conditionalFormatting>
  <conditionalFormatting sqref="E70"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E83"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98">
    <cfRule type="iconSet" priority="42">
      <iconSet iconSet="3Arrows">
        <cfvo type="percent" val="0"/>
        <cfvo type="percent" val="33"/>
        <cfvo type="percent" val="67"/>
      </iconSet>
    </cfRule>
  </conditionalFormatting>
  <conditionalFormatting sqref="E104">
    <cfRule type="iconSet" priority="41">
      <iconSet iconSet="3Arrows">
        <cfvo type="percent" val="0"/>
        <cfvo type="percent" val="33"/>
        <cfvo type="percent" val="67"/>
      </iconSet>
    </cfRule>
  </conditionalFormatting>
  <conditionalFormatting sqref="E105"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E106"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110">
    <cfRule type="iconSet" priority="38">
      <iconSet iconSet="3Arrows">
        <cfvo type="percent" val="0"/>
        <cfvo type="percent" val="33"/>
        <cfvo type="percent" val="67"/>
      </iconSet>
    </cfRule>
  </conditionalFormatting>
  <conditionalFormatting sqref="E115"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E132"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E136"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141">
    <cfRule type="iconSet" priority="34">
      <iconSet iconSet="3Arrows">
        <cfvo type="percent" val="0"/>
        <cfvo type="percent" val="33"/>
        <cfvo type="percent" val="67"/>
      </iconSet>
    </cfRule>
  </conditionalFormatting>
  <conditionalFormatting sqref="E142">
    <cfRule type="iconSet" priority="33">
      <iconSet iconSet="3Arrows">
        <cfvo type="percent" val="0"/>
        <cfvo type="percent" val="33"/>
        <cfvo type="percent" val="67"/>
      </iconSet>
    </cfRule>
  </conditionalFormatting>
  <conditionalFormatting sqref="E143"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E144"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166">
    <cfRule type="iconSet" priority="30">
      <iconSet iconSet="3Arrows">
        <cfvo type="percent" val="0"/>
        <cfvo type="percent" val="33"/>
        <cfvo type="percent" val="67"/>
      </iconSet>
    </cfRule>
  </conditionalFormatting>
  <conditionalFormatting sqref="E167">
    <cfRule type="iconSet" priority="29">
      <iconSet iconSet="3Arrows">
        <cfvo type="percent" val="0"/>
        <cfvo type="percent" val="33"/>
        <cfvo type="percent" val="67"/>
      </iconSet>
    </cfRule>
  </conditionalFormatting>
  <conditionalFormatting sqref="E168"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E182"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185">
    <cfRule type="iconSet" priority="26">
      <iconSet iconSet="3Arrows">
        <cfvo type="percent" val="0"/>
        <cfvo type="percent" val="33"/>
        <cfvo type="percent" val="67"/>
      </iconSet>
    </cfRule>
  </conditionalFormatting>
  <conditionalFormatting sqref="E186">
    <cfRule type="iconSet" priority="25">
      <iconSet iconSet="3Arrows">
        <cfvo type="percent" val="0"/>
        <cfvo type="percent" val="33"/>
        <cfvo type="percent" val="67"/>
      </iconSet>
    </cfRule>
  </conditionalFormatting>
  <conditionalFormatting sqref="E187"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E199"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200">
    <cfRule type="iconSet" priority="22">
      <iconSet iconSet="3Arrows">
        <cfvo type="percent" val="0"/>
        <cfvo type="percent" val="33"/>
        <cfvo type="percent" val="67"/>
      </iconSet>
    </cfRule>
  </conditionalFormatting>
  <conditionalFormatting sqref="E203">
    <cfRule type="iconSet" priority="21">
      <iconSet iconSet="3Arrows">
        <cfvo type="percent" val="0"/>
        <cfvo type="percent" val="33"/>
        <cfvo type="percent" val="67"/>
      </iconSet>
    </cfRule>
  </conditionalFormatting>
  <conditionalFormatting sqref="E208"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E287"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288">
    <cfRule type="iconSet" priority="18">
      <iconSet iconSet="3Arrows">
        <cfvo type="percent" val="0"/>
        <cfvo type="percent" val="33"/>
        <cfvo type="percent" val="67"/>
      </iconSet>
    </cfRule>
  </conditionalFormatting>
  <conditionalFormatting sqref="E291">
    <cfRule type="iconSet" priority="17">
      <iconSet iconSet="3Arrows">
        <cfvo type="percent" val="0"/>
        <cfvo type="percent" val="33"/>
        <cfvo type="percent" val="67"/>
      </iconSet>
    </cfRule>
  </conditionalFormatting>
  <conditionalFormatting sqref="E352"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E353"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363">
    <cfRule type="iconSet" priority="14">
      <iconSet iconSet="3Arrows">
        <cfvo type="percent" val="0"/>
        <cfvo type="percent" val="33"/>
        <cfvo type="percent" val="67"/>
      </iconSet>
    </cfRule>
  </conditionalFormatting>
  <conditionalFormatting sqref="E403">
    <cfRule type="iconSet" priority="13">
      <iconSet iconSet="3Arrows">
        <cfvo type="percent" val="0"/>
        <cfvo type="percent" val="33"/>
        <cfvo type="percent" val="67"/>
      </iconSet>
    </cfRule>
  </conditionalFormatting>
  <conditionalFormatting sqref="E413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E417"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424">
    <cfRule type="iconSet" priority="10">
      <iconSet iconSet="3Arrows">
        <cfvo type="percent" val="0"/>
        <cfvo type="percent" val="33"/>
        <cfvo type="percent" val="67"/>
      </iconSet>
    </cfRule>
  </conditionalFormatting>
  <conditionalFormatting sqref="E442">
    <cfRule type="iconSet" priority="9">
      <iconSet iconSet="3Arrows">
        <cfvo type="percent" val="0"/>
        <cfvo type="percent" val="33"/>
        <cfvo type="percent" val="67"/>
      </iconSet>
    </cfRule>
  </conditionalFormatting>
  <conditionalFormatting sqref="E451"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E45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455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E456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460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E477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E47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E479">
    <cfRule type="iconSet" priority="1">
      <iconSet iconSet="3Arrows">
        <cfvo type="percent" val="0"/>
        <cfvo type="percent" val="33"/>
        <cfvo type="percent" val="67"/>
      </iconSet>
    </cfRule>
  </conditionalFormatting>
  <pageMargins left="0.19685039370078741" right="0.19685039370078741" top="0.39370078740157483" bottom="0.39370078740157483" header="0.31496062992125984" footer="0.31496062992125984"/>
  <pageSetup paperSize="9" scale="8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UML_ULTIMA PTS LIST JUNE 26-27</vt:lpstr>
      <vt:lpstr>'UML_ULTIMA PTS LIST JUNE 26-27'!Print_Titles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2026-06-08T05:17:09Z</dcterms:modified>
</cp:coreProperties>
</file>